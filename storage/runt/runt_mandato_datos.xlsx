
<file path=[Content_Types].xml><?xml version="1.0" encoding="utf-8"?>
<Types xmlns="http://schemas.openxmlformats.org/package/2006/content-types">
  <Default Extension="png" ContentType="image/png"/>
  <Default Extension="emf" ContentType="image/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2" name="FORMULARIO" state="visible" r:id="rId4"/>
    <sheet sheetId="3" name=" MANDATO" state="visible" r:id="rId5"/>
    <sheet sheetId="5" name="COMPRAVENTA" state="visible" r:id="rId6"/>
    <sheet sheetId="6" name="DATOS" state="visible" r:id="rId7"/>
    <sheet sheetId="7" name="CHECK LIST" state="visible" r:id="rId8"/>
  </sheets>
  <calcPr calcId="171027" fullCalcOnLoad="1"/>
</workbook>
</file>

<file path=xl/sharedStrings.xml><?xml version="1.0" encoding="utf-8"?>
<sst xmlns="http://schemas.openxmlformats.org/spreadsheetml/2006/main" count="408" uniqueCount="325">
  <si>
    <t xml:space="preserve">                                        MINISTERIO DE TRANSPORTE</t>
  </si>
  <si>
    <t>FORMULARIO DE SOLICITUD DE TRAMITES DEL REGISTRO NACIONAL AUTOMOTOR</t>
  </si>
  <si>
    <t xml:space="preserve">1, ORGANISMO DE TRÁNSITO </t>
  </si>
  <si>
    <t>2. PLACA</t>
  </si>
  <si>
    <t>NOMBRE</t>
  </si>
  <si>
    <t>LETRAS</t>
  </si>
  <si>
    <t>NÚMEROS</t>
  </si>
  <si>
    <t>CIUDAD</t>
  </si>
  <si>
    <t>CODIGO</t>
  </si>
  <si>
    <t>FECHA DE TRAMITE</t>
  </si>
  <si>
    <t>DIA</t>
  </si>
  <si>
    <t>MES</t>
  </si>
  <si>
    <t>AÑO</t>
  </si>
  <si>
    <t>3. TRAMITE SOLICITADO</t>
  </si>
  <si>
    <t>5. MARCA</t>
  </si>
  <si>
    <t>6. LINEA</t>
  </si>
  <si>
    <t>7.COMBUSTIBLE</t>
  </si>
  <si>
    <t xml:space="preserve">MATRICULA/
REGISTRO </t>
  </si>
  <si>
    <t>TRASPASO</t>
  </si>
  <si>
    <t>TRANSLADO MATRICULA / REGISTRO</t>
  </si>
  <si>
    <t>RADICADO  MATRICULA / REGISTRO</t>
  </si>
  <si>
    <t>CAMBIO DE COLOR</t>
  </si>
  <si>
    <t>CAMBIO DE SERVICIO</t>
  </si>
  <si>
    <t>GASOLINA</t>
  </si>
  <si>
    <t>DIESEL</t>
  </si>
  <si>
    <t>GAS.</t>
  </si>
  <si>
    <t>MIXTO</t>
  </si>
  <si>
    <t>ELECTRICO</t>
  </si>
  <si>
    <t>HIDROGEN.</t>
  </si>
  <si>
    <t>ETANOL</t>
  </si>
  <si>
    <t>BIODIESEL</t>
  </si>
  <si>
    <t>REGRABAR MOTOR</t>
  </si>
  <si>
    <t>REGRABAR CHASIS</t>
  </si>
  <si>
    <t>TRANSFORMACION</t>
  </si>
  <si>
    <t>DUPLICADO LICENCIA TRANSITO</t>
  </si>
  <si>
    <t>INSCRIPC. PRENDA</t>
  </si>
  <si>
    <t>LEVANTA. PRENDA</t>
  </si>
  <si>
    <t>8. COLORES</t>
  </si>
  <si>
    <t>9. MODELO</t>
  </si>
  <si>
    <t xml:space="preserve">10. CILINDRADA </t>
  </si>
  <si>
    <t xml:space="preserve">CANCELACION MATRICULA / REGISTRO </t>
  </si>
  <si>
    <t>CAMBIO DE PLACAS</t>
  </si>
  <si>
    <t>DUPLICADO DE PLACAS</t>
  </si>
  <si>
    <t>REMATRICULA</t>
  </si>
  <si>
    <t>CAMBIO DE CARROCERIA</t>
  </si>
  <si>
    <t>OTROS</t>
  </si>
  <si>
    <t>11. CAPACIDAD Kg/Psj</t>
  </si>
  <si>
    <t>12. BLINDAJE   SI        NO</t>
  </si>
  <si>
    <t xml:space="preserve">13.DESMONTE BLIND.     SI       NO </t>
  </si>
  <si>
    <t>14. POTENCIA/HP</t>
  </si>
  <si>
    <t>Resolución No (DD/MM/AÑO)</t>
  </si>
  <si>
    <t>4. CLASE DE VEHICULO</t>
  </si>
  <si>
    <t>15. CARROCERIA</t>
  </si>
  <si>
    <t>16. IDENTIFICACION INTERNA DEL VEHICULO</t>
  </si>
  <si>
    <t>AUTOMOVIL</t>
  </si>
  <si>
    <t>BUS</t>
  </si>
  <si>
    <t>BUSETA</t>
  </si>
  <si>
    <t>CAMIÓN</t>
  </si>
  <si>
    <t>CAMIONETA</t>
  </si>
  <si>
    <t>CAMPERO</t>
  </si>
  <si>
    <t>MICROBUS</t>
  </si>
  <si>
    <t>No. DE MOTOR</t>
  </si>
  <si>
    <t>REGRABADO</t>
  </si>
  <si>
    <r>
      <t>SI</t>
    </r>
    <r>
      <rPr>
        <color rgb="FF000000"/>
        <family val="1"/>
        <sz val="10"/>
        <rFont val="Times New Roman"/>
      </rPr>
      <t xml:space="preserve">       </t>
    </r>
    <r>
      <rPr>
        <family val="2"/>
        <sz val="8"/>
        <rFont val="Arial"/>
      </rPr>
      <t>NO</t>
    </r>
  </si>
  <si>
    <t>TRACTOCAMIÓN</t>
  </si>
  <si>
    <t>MOTOCICLETA</t>
  </si>
  <si>
    <t>MOTOCARRO</t>
  </si>
  <si>
    <t>MOTOTRICICLO</t>
  </si>
  <si>
    <t>CUATRIMOTO</t>
  </si>
  <si>
    <t>VOLQUETA</t>
  </si>
  <si>
    <t>OTRO</t>
  </si>
  <si>
    <t>TIPO</t>
  </si>
  <si>
    <t>No. DE CHASIS</t>
  </si>
  <si>
    <t>SI       NO</t>
  </si>
  <si>
    <t>21. DATOS DEL PROPIETARIO</t>
  </si>
  <si>
    <t>No. DE SERIE</t>
  </si>
  <si>
    <t>17. IMPORTACIÓN O REMATE</t>
  </si>
  <si>
    <t>SI        NO</t>
  </si>
  <si>
    <t>PRIMER APELLIDO</t>
  </si>
  <si>
    <t>SEGUNDO APELLIDO</t>
  </si>
  <si>
    <t>NOMBRES</t>
  </si>
  <si>
    <t>IMPORTACION</t>
  </si>
  <si>
    <t>REMATE</t>
  </si>
  <si>
    <t>No. DE VIN VEHICULOS AUTOMOTORES</t>
  </si>
  <si>
    <r>
      <rPr>
        <family val="2"/>
        <sz val="6"/>
        <rFont val="Arial"/>
      </rPr>
      <t>MANIF. O ACTA</t>
    </r>
    <r>
      <rPr>
        <family val="2"/>
        <sz val="7"/>
        <rFont val="Arial"/>
      </rPr>
      <t xml:space="preserve">
1</t>
    </r>
  </si>
  <si>
    <r>
      <rPr>
        <family val="2"/>
        <sz val="6"/>
        <rFont val="Arial"/>
      </rPr>
      <t>DEC. DE IMPOR.</t>
    </r>
    <r>
      <rPr>
        <family val="2"/>
        <sz val="7"/>
        <rFont val="Arial"/>
      </rPr>
      <t xml:space="preserve">
2</t>
    </r>
  </si>
  <si>
    <r>
      <rPr>
        <family val="2"/>
        <sz val="6"/>
        <rFont val="Arial"/>
      </rPr>
      <t>ACTA</t>
    </r>
    <r>
      <rPr>
        <family val="2"/>
        <sz val="7"/>
        <rFont val="Arial"/>
      </rPr>
      <t xml:space="preserve">
3</t>
    </r>
  </si>
  <si>
    <r>
      <rPr>
        <family val="2"/>
        <sz val="6"/>
        <rFont val="Arial"/>
      </rPr>
      <t>ENTIDAD</t>
    </r>
    <r>
      <rPr>
        <family val="2"/>
        <sz val="7"/>
        <rFont val="Arial"/>
      </rPr>
      <t xml:space="preserve">
4</t>
    </r>
  </si>
  <si>
    <r>
      <t xml:space="preserve">LUGAR (CIUDAD)
</t>
    </r>
    <r>
      <rPr>
        <family val="2"/>
        <sz val="7"/>
        <rFont val="Arial"/>
      </rPr>
      <t>5</t>
    </r>
  </si>
  <si>
    <r>
      <rPr>
        <family val="2"/>
        <sz val="6"/>
        <rFont val="Arial"/>
      </rPr>
      <t>CODIGO</t>
    </r>
    <r>
      <rPr>
        <family val="2"/>
        <sz val="7"/>
        <rFont val="Arial"/>
      </rPr>
      <t xml:space="preserve">
6</t>
    </r>
  </si>
  <si>
    <t>C.C</t>
  </si>
  <si>
    <t>NIT</t>
  </si>
  <si>
    <t>N.N</t>
  </si>
  <si>
    <t>PASAPORTE</t>
  </si>
  <si>
    <t>C.EXTRANJ.</t>
  </si>
  <si>
    <t>T.IDENTI.</t>
  </si>
  <si>
    <t>NUIP</t>
  </si>
  <si>
    <t>C. DIPLOMATICO</t>
  </si>
  <si>
    <t>No. DOCUMENTO</t>
  </si>
  <si>
    <t>C</t>
  </si>
  <si>
    <t>N</t>
  </si>
  <si>
    <t>X</t>
  </si>
  <si>
    <t>P</t>
  </si>
  <si>
    <t>E</t>
  </si>
  <si>
    <t>T</t>
  </si>
  <si>
    <t>U</t>
  </si>
  <si>
    <t>D</t>
  </si>
  <si>
    <t>FECHA</t>
  </si>
  <si>
    <t>18. TIPO DE SERVICIO</t>
  </si>
  <si>
    <t>DIRECCION</t>
  </si>
  <si>
    <t>TELEFONO</t>
  </si>
  <si>
    <t>PARTICUL</t>
  </si>
  <si>
    <t>PUBLICO</t>
  </si>
  <si>
    <t>DIPLOMATI.</t>
  </si>
  <si>
    <t>OFICIAL</t>
  </si>
  <si>
    <t>ESPECIAL</t>
  </si>
  <si>
    <t xml:space="preserve">
1</t>
  </si>
  <si>
    <t xml:space="preserve">
2</t>
  </si>
  <si>
    <t xml:space="preserve">
3</t>
  </si>
  <si>
    <t xml:space="preserve">
4</t>
  </si>
  <si>
    <t xml:space="preserve">
5</t>
  </si>
  <si>
    <t xml:space="preserve">
6</t>
  </si>
  <si>
    <t>FIRMA DEL PROPIETARIO</t>
  </si>
  <si>
    <t>20. DATOS DE ALERTA</t>
  </si>
  <si>
    <t>19. EMPRESA VINCULADORA</t>
  </si>
  <si>
    <t xml:space="preserve">HURTO
1</t>
  </si>
  <si>
    <t xml:space="preserve">LIM. PROPIEDAD
2</t>
  </si>
  <si>
    <r>
      <rPr>
        <family val="2"/>
        <sz val="5"/>
        <rFont val="Arial"/>
      </rPr>
      <t>EMBARGO</t>
    </r>
    <r>
      <rPr>
        <family val="2"/>
        <sz val="7"/>
        <rFont val="Arial"/>
      </rPr>
      <t xml:space="preserve">
3</t>
    </r>
  </si>
  <si>
    <t xml:space="preserve">OTRO
4</t>
  </si>
  <si>
    <t xml:space="preserve">A FAVOR DE:
5</t>
  </si>
  <si>
    <t>22. DATOS DEL COMPRADOR (TRASPASO)</t>
  </si>
  <si>
    <t>23. OBSERVACIONES</t>
  </si>
  <si>
    <t>ESPECIFIQUE LA PALABRA OTRO Y TRANSFORMACIÓN EFECTUADA AL VEHICULO, AMPLEI EL TIPO DE ALERTA O LO QUE ESTIME</t>
  </si>
  <si>
    <t>OBSERVACIONES (PARA TRASPASO DE VEHICULOS AUTOMOTORES ANTES DE RUNT)</t>
  </si>
  <si>
    <t>SI SU VEHICULO AUTOMOTOR HA SIDO MATRICULADO ANTES DEL RUNT TRANSCRIBA EN ESTE CAMPO EL TIPO DE CARROCERIA Y LA CLASE DE VEHICULO QUE SE ENCUENTRA REGISTRADA EN SU LICENCIA DE TRÁNSITO O CUALQUIER OTRO ASPECTO QUE CONSIDERE NECESARIO PARA DAR EXACTITUD A LA INFORMACIÓN.</t>
  </si>
  <si>
    <t>FIRMA DEL COMPRADOR</t>
  </si>
  <si>
    <t>NOTA: VER INSTRUCCIONES AL RESPALDO</t>
  </si>
  <si>
    <t>INSTRUCCIONES</t>
  </si>
  <si>
    <t>EL FORMULARIO DE SOLICITUD DE TRAMITES DE VEHICULOS, ES UN DOCUMENTO A TRAVÉS DEL CUAL LA PERSONA NATURAL O JURÍDICA SOLICITA ANTE LA AUTORIDAD COMPETENTE, LA REALIZACIÒN DE UN TRÁMITE.</t>
  </si>
  <si>
    <t>1. NO ESCRIBA EN ESTE ESPACIO DEBE SER DILIGENCIADO POR EL ORGANISMO DE TRANSITO.</t>
  </si>
  <si>
    <t>2. ESCRIBA LAS LETRAS Y NUMEROS DE LAS PLACAS DEL VEHICULO.</t>
  </si>
  <si>
    <t>3. SEÑALE CON UNA EQUIS (X) EL CUADRO CORRESPONDIENTE AL TRAMITE SOLICITADO.</t>
  </si>
  <si>
    <t>4, SEÑALE CON UNA EQUIS (X) EL CAMPO CORRESPONDIENTE A LA CLASE DEL VEHICULO.</t>
  </si>
  <si>
    <t>5, ESPECIFIQUE LA MARCA DEL VEHICULO. EJEMPLO: CHEVROLET, NISSAN, RENAULT.</t>
  </si>
  <si>
    <t>6. ESPECIFIQUE LA LINEA DEL VEHICULO . EJEMPLO: AVEO, SENTRA, LOGAN.</t>
  </si>
  <si>
    <t>7, SEÑALE CON UNA EQUIS (X) EL TIPO DE COMBUSTIBLE QUE UTILIZA EL VEHICULO, (GASOLINA, DIESEL)</t>
  </si>
  <si>
    <t>8. ESPECIFIQUE EL (LOS) COLOR (ES) PREDOMINANTE(S), MAXIMO TRES.</t>
  </si>
  <si>
    <t>9. ESPECIFIQUE EL AÑO MODELO DEL VEHICULO.</t>
  </si>
  <si>
    <t xml:space="preserve">  IMPRONTAS DEL MOTOR O SERIE</t>
  </si>
  <si>
    <t>10. ESPECIFQUE LA CILINDRADA DEL VEHICULO.</t>
  </si>
  <si>
    <t>11. ESPECIFIQUE LA CAPACIDAD, SI ES DE CARGA EN KILOGRAMOS, SI ES DE TRANSPORTE EN PASAJEROS.</t>
  </si>
  <si>
    <t>12, SEÑALE CON UNA EQUIS (X) EL CUADRO CORRESPONDIENTE A BLINDAJE O DESMONTE DE BLINDAJE, EN CASO AFIRMATIVO ESPECIFIQUE LA RESOLUCIÒN EXPEDIDA POR LA SUPERINTENDENCIA DE VIGILANCIA Y SEGURIDAD PRIVADA.</t>
  </si>
  <si>
    <t>13. SEÑALE CON UNA EQUIS (X) EL CUADRO CORRESPONDIENTE A DESMONTE DE BLINDAJE, EN CASO AFIRMATIVO ESPECIFIQUE LA RESOLUCIÒN EXPEDIDA POR LA SUPERINTENDENCIA DE VIGILANCIA Y SEGURIDAD PRIVADA.</t>
  </si>
  <si>
    <t>14, ESPECIFIQUE POTENCIA EN CABALLOS DE FUERZAS (HP)</t>
  </si>
  <si>
    <t>15. SELECCIONE EL CODIGO Y EL TIPO DE CARROCERIA QUE CORRESPONDE A SU VEHICULO.</t>
  </si>
  <si>
    <t>16. TRANSCRIBA EL NUMERO CORRESPONDIENTE AL MOTOR, CHASIS , SERIE, VIN DE VEHICULOS AUTOMOTORES. SI UNO DE ESTOS HA SIDO REGRABADO, SEÑALE CON UNA EQUIS (X) LA CASILLA RESPECTIVA.</t>
  </si>
  <si>
    <t>17. SI EL VEHICULO ES IMPORTADO INDIQUE CON UNA EQUIS (X) EL DOCUMENTO RESPECTIVO, SI ES DE REMATE INDIQUE LA ENTIDAD, EN AMBOS CASOS LA CIUDAD DONDE SE HIZO EL DOCUMENTO NO ESCRIBA EN LA CASILLA CORRESPONDIENTE A CODIGO DE ADUANA, SERA SUMINISTRADO POR LA OFICINA DE TRANSITO CORRESPONDIENTE..</t>
  </si>
  <si>
    <t>18. ESPECIFIQUE TIPO DE SERVICIO: PARTICULAR, PÚBLICO, DIPLOMATICO, OFICIAL, ESPECIAL Y OTROS.</t>
  </si>
  <si>
    <t>19, ESPECIFIQUE EL NOMBRE DE LA EMPRESA VINCULADORA Y SU CORRESPONDIENTE NIT.</t>
  </si>
  <si>
    <t>20. SEÑALE CON UNA EQUIS (X) EL DATO DE ALERTA CORRESPONDIENTE YA SEA POR HURTO, LIMITACIÓN DE LA PROPIEDAD, EMBARGO, OTRO, A FAVOR DE PERSONA O RAZON SOCIAL U OTRA ENTIDAD.</t>
  </si>
  <si>
    <t xml:space="preserve">21. TRANSCRIBA LOS DATOS PERSONALES DEL PROPIETARIO ACTUAL DEL VEHICULO, SEÑALANDO CON UNA EQUIS (X)EL TIPO DE DOCUMENTO DE IDENTIDAD CON SU CORRESPONDIENTE NUMERO, DIRECCIÓN, CIUDAD, TELEFONO Y FIRMA. </t>
  </si>
  <si>
    <t>22. EN CASO DE TRASPASO, TRANSCRIBA LOS DATOS PERSONALES DEL NUEVO PROPIETARIO, SEÑALE CON UNA EQUIS (X) EL TIPO DE DOCUMENTO DE IDENTIDAD CON SU CORRESPONDIENTE NUMERO, DIRECCION, CIUDAD, TELEFONO Y FIRMA. EN CASO DE TRASPASO A PERSONA INDETERMINADA, EN EL CAMPO CORRESPONDIENTE A COMPRADOR SE REGISTRA PERSONA INDETERMINADA.</t>
  </si>
  <si>
    <t>23. OBSERVACIONES: ESCRIBA O ACLARE LA PALABRA OTRO Y DESCRIBA LA TRANSFORMACIÓN EFECTUADA AL VEHICULO.</t>
  </si>
  <si>
    <t>NOTA: EL SISTEMA REGISTRO ÚNICO NACIONAL DE TRÁNSITO-RUNT MANTENDRA ACTUALIZADÓ LOS CODIGOS Y EL CONTENIDO DE LA INFORMACIÓN DE LOS DIFERENTES CAMPOS DE ESTE FORMULARIO.</t>
  </si>
  <si>
    <t xml:space="preserve">   IMPRONTAS  CHASIS O SERIAL</t>
  </si>
  <si>
    <t>CONTRATO DE MANDATO</t>
  </si>
  <si>
    <t>Entre  los  suscritos  a  saber</t>
  </si>
  <si>
    <t>mayor  de  edad,  vecino</t>
  </si>
  <si>
    <t xml:space="preserve">de esta cuidad,identificado con cedula de ciudadanía </t>
  </si>
  <si>
    <t>quien  para  efectos del</t>
  </si>
  <si>
    <r>
      <t xml:space="preserve">presente        contrato       se        denominará        </t>
    </r>
    <r>
      <rPr>
        <b/>
        <family val="2"/>
        <sz val="10"/>
        <rFont val="Arial"/>
      </rPr>
      <t>EL        MANDANTE</t>
    </r>
    <r>
      <rPr>
        <family val="2"/>
        <sz val="10"/>
        <rFont val="Arial"/>
      </rPr>
      <t>,        y        de       otro</t>
    </r>
  </si>
  <si>
    <t xml:space="preserve">También  mayor  de  edad,  vecino  de  la  esta  ciudad,  cédula  de </t>
  </si>
  <si>
    <r>
      <t>Ciudadanía No.           ,quien   para   efectos  del   presente   contrato   se   denominará</t>
    </r>
    <r>
      <rPr>
        <b/>
        <family val="2"/>
        <sz val="10"/>
        <rFont val="Arial"/>
      </rPr>
      <t xml:space="preserve"> EL</t>
    </r>
  </si>
  <si>
    <t xml:space="preserve"> , quien para efectos del presente  contrato  se denominará EL</t>
  </si>
  <si>
    <r>
      <rPr>
        <b/>
        <family val="2"/>
        <sz val="10"/>
        <rFont val="Arial"/>
      </rPr>
      <t>MANDATARIO</t>
    </r>
    <r>
      <rPr>
        <family val="2"/>
        <sz val="10"/>
        <rFont val="Arial"/>
      </rPr>
      <t>,  Hemos  acordado  suscribir  el  siguiente  contrato  de  mandato  cumpliendo con</t>
    </r>
  </si>
  <si>
    <t>la  Resolución  12379   expedida   por  el  Ministerio de Transporte   el   28  de  diciembre de  2012</t>
  </si>
  <si>
    <t>(Art.5), que se regirá por la normas civiles y comerciales que regulan la materia de Concordancia</t>
  </si>
  <si>
    <t>con el Art. 2149 C.C según las siguientes cláusulas.</t>
  </si>
  <si>
    <r>
      <t xml:space="preserve">PRIMERA: OBJETO DEL CONTRATO.  </t>
    </r>
    <r>
      <rPr>
        <b/>
        <family val="2"/>
        <sz val="10"/>
        <rFont val="Arial"/>
      </rPr>
      <t>EL MANDATARIO</t>
    </r>
    <r>
      <rPr>
        <family val="2"/>
        <sz val="10"/>
        <rFont val="Arial"/>
      </rPr>
      <t xml:space="preserve">  por cuenta y riesgo del </t>
    </r>
    <r>
      <rPr>
        <b/>
        <family val="2"/>
        <sz val="10"/>
        <rFont val="Arial"/>
      </rPr>
      <t>MANDANTE</t>
    </r>
  </si>
  <si>
    <t>queda  facultado  para  solicitar, realizar,  radicar  y  retirar el trámite</t>
  </si>
  <si>
    <t>Del vehículo de propiedad del MANDANTE identificado con las siguientes  características:</t>
  </si>
  <si>
    <t xml:space="preserve"> </t>
  </si>
  <si>
    <t>PLACA</t>
  </si>
  <si>
    <t xml:space="preserve">MARCA </t>
  </si>
  <si>
    <t>LINEA</t>
  </si>
  <si>
    <t>MODELO</t>
  </si>
  <si>
    <t xml:space="preserve">CILINDRAJE </t>
  </si>
  <si>
    <t xml:space="preserve">MOTOR </t>
  </si>
  <si>
    <t>CHASIS</t>
  </si>
  <si>
    <t>Ante al ORGANIZMOS DE TRANSITO Y TRANSPORTE que corresponda,  Como  consecuencia,</t>
  </si>
  <si>
    <t xml:space="preserve">EL MANDATARIO queda facultado  para  realizar todas  las gestiones  propias de este  mandato </t>
  </si>
  <si>
    <t xml:space="preserve">y  en  especial para representar, notificarse, recibir, impugnar, desistir,  sustituir, reasumir, pedir, </t>
  </si>
  <si>
    <r>
      <t xml:space="preserve">conciliar o asumir obligaciones en nombre del </t>
    </r>
    <r>
      <rPr>
        <b/>
        <family val="2"/>
        <sz val="10"/>
        <rFont val="Arial"/>
      </rPr>
      <t>MANDANTE</t>
    </r>
    <r>
      <rPr>
        <family val="2"/>
        <sz val="10"/>
        <rFont val="Arial"/>
      </rPr>
      <t>.</t>
    </r>
  </si>
  <si>
    <t>SEGUNDA:  OBLIGACIONES  DEL  MANDANTE. EL MANDANTE  declara  que  la  información</t>
  </si>
  <si>
    <t xml:space="preserve">contenida en  los  documentos que anexan a la solicitud del trámite es veraz y Auténtica,  razón </t>
  </si>
  <si>
    <t>por la que se hace responsable  ante la autoridad competente de  cualquier irregularidad que los</t>
  </si>
  <si>
    <t xml:space="preserve"> mismos puedan Contener.</t>
  </si>
  <si>
    <t>EL MANDANTE</t>
  </si>
  <si>
    <t>CC</t>
  </si>
  <si>
    <t>EL MANDATARIO</t>
  </si>
  <si>
    <t>CONTRATO DE COMPRAVENTA DE VEHICULO AUTOMOTOR</t>
  </si>
  <si>
    <t>LUGAR Y FECHA DE CELEBRACION DEL CONTRATO:</t>
  </si>
  <si>
    <t>NOMBRE VENDEDOR:</t>
  </si>
  <si>
    <t>IDENTIFICACION:</t>
  </si>
  <si>
    <t>DIRECCION:</t>
  </si>
  <si>
    <t>CELULAR:</t>
  </si>
  <si>
    <t>CORREO ELECTRONICO:</t>
  </si>
  <si>
    <t>NOMBRE COMPRADOR:</t>
  </si>
  <si>
    <t xml:space="preserve">LAS PARTES CONVIENEN CELEBRAR EL PRESENTE CONTRATO DE COMPRAVENTA, QUE SE REGIRA </t>
  </si>
  <si>
    <t>POR LAS  ANTERIORES ESTIPULACIONES, LAS NORMAS LEGALES APLICABLESA LA MATERIA Y EN</t>
  </si>
  <si>
    <r>
      <t xml:space="preserve">ESPECIAL POR LAS SIGUIENTES CLAUSULAS : </t>
    </r>
    <r>
      <rPr>
        <b/>
        <color rgb="FF000000"/>
        <family val="1"/>
        <sz val="10"/>
        <rFont val="Times New Roman"/>
      </rPr>
      <t>PRIMERA : OBJETO DEL CONTRATO</t>
    </r>
    <r>
      <rPr>
        <color rgb="FF000000"/>
        <family val="1"/>
        <sz val="10"/>
        <rFont val="Times New Roman"/>
      </rPr>
      <t xml:space="preserve">: EL VENDEDOR </t>
    </r>
  </si>
  <si>
    <t>TRANSFIERE  A TITULO DE VENTA Y EL COMPRADOR  ADQUIERE A LA PROPIEDAD DEL VEHICULO</t>
  </si>
  <si>
    <t>AUTOMOTOR QUE A CONTINUACION SE IDENTIFICA:</t>
  </si>
  <si>
    <t>PLACAS:</t>
  </si>
  <si>
    <t>MODELO:</t>
  </si>
  <si>
    <t>CLASE:</t>
  </si>
  <si>
    <t>MARCA:</t>
  </si>
  <si>
    <t>LINEA:</t>
  </si>
  <si>
    <t>COLOR:</t>
  </si>
  <si>
    <t>PUERTAS:</t>
  </si>
  <si>
    <t>SERVICIO:</t>
  </si>
  <si>
    <t>MOTOR NO:</t>
  </si>
  <si>
    <t>CHASIS:</t>
  </si>
  <si>
    <r>
      <rPr>
        <b/>
        <color rgb="FF000000"/>
        <family val="1"/>
        <sz val="10"/>
        <rFont val="Times New Roman"/>
      </rPr>
      <t xml:space="preserve">SEGUNDA </t>
    </r>
    <r>
      <rPr>
        <color rgb="FF000000"/>
        <family val="1"/>
        <sz val="10"/>
        <rFont val="Times New Roman"/>
      </rPr>
      <t>: PRECIO : COMO  PRECIO  DEL AUTOMOTOR  LAS  PARTES  ACUERDAN  LA  SUMA  DE :</t>
    </r>
  </si>
  <si>
    <r>
      <rPr>
        <b/>
        <color rgb="FF000000"/>
        <family val="1"/>
        <sz val="10"/>
        <rFont val="Times New Roman"/>
      </rPr>
      <t>TERCERA</t>
    </r>
    <r>
      <rPr>
        <color rgb="FF000000"/>
        <family val="1"/>
        <sz val="10"/>
        <rFont val="Times New Roman"/>
      </rPr>
      <t xml:space="preserve"> : FORMA  DE PAGO : EL  COMPRADOR SE COMPROMETE  A  PAGAR EL PRECIO A QUE  SE </t>
    </r>
  </si>
  <si>
    <t>REFIERE LA CLAUSULA ANTERIOR DE LA SIGUIENTE FORMA:</t>
  </si>
  <si>
    <r>
      <rPr>
        <b/>
        <color rgb="FF000000"/>
        <family val="1"/>
        <sz val="10"/>
        <rFont val="Times New Roman"/>
      </rPr>
      <t>CUARTA</t>
    </r>
    <r>
      <rPr>
        <color rgb="FF000000"/>
        <family val="1"/>
        <sz val="10"/>
        <rFont val="Times New Roman"/>
      </rPr>
      <t xml:space="preserve">: OBLIGACIONES DEL VENDEDOR: HACE ENTREGA DEL VEHICULO LIBRE DE GRAVAMENES, </t>
    </r>
  </si>
  <si>
    <t>EMBARGOS, MULTAS, IMPUESTOS, COMPARENDOS DE TRANSITO, PACTOS DE RESERVA DE DOMINIO</t>
  </si>
  <si>
    <t xml:space="preserve">Y  CUALQUIER  OTRA  CIRCUNSTANCIA  QUE  AFECTE EL LIBRE  COMERCIO  DEL  BIEN OBJETO DEL </t>
  </si>
  <si>
    <t>PRESENTE CONTRATO.</t>
  </si>
  <si>
    <r>
      <rPr>
        <b/>
        <color rgb="FF000000"/>
        <family val="1"/>
        <sz val="10"/>
        <rFont val="Times New Roman"/>
      </rPr>
      <t>QUINTA</t>
    </r>
    <r>
      <rPr>
        <color rgb="FF000000"/>
        <family val="1"/>
        <sz val="10"/>
        <rFont val="Times New Roman"/>
      </rPr>
      <t xml:space="preserve">: ENTREGA: EN LA FECHA </t>
    </r>
  </si>
  <si>
    <t>EL VENDEDOR HACE ENTREGA MATERIAL</t>
  </si>
  <si>
    <t xml:space="preserve">DEL VEHICULO  OBJETO  DEL  PRESENTE CONTRATO  AL  COMPRADOR,  Y  ESTE ASI  LO ACEPTA Y </t>
  </si>
  <si>
    <t>DECLARA QUE CONOCE EL ESTADO EN QUE SE ENCUENTRA  EL BIEN OBJETO DE ESTE CONTRATO.</t>
  </si>
  <si>
    <r>
      <rPr>
        <b/>
        <color rgb="FF000000"/>
        <family val="1"/>
        <sz val="10"/>
        <rFont val="Times New Roman"/>
      </rPr>
      <t>SEXTA</t>
    </r>
    <r>
      <rPr>
        <color rgb="FF000000"/>
        <family val="1"/>
        <sz val="10"/>
        <rFont val="Times New Roman"/>
      </rPr>
      <t>: RESPONSABILIDAD: SERÁ IMPUTABLE AL COMPRADOR TODA</t>
    </r>
    <r>
      <rPr>
        <color rgb="FF000000"/>
        <family val="1"/>
        <sz val="10"/>
        <rFont val="Times New Roman"/>
      </rPr>
      <t xml:space="preserve"> RESPONSABILIDAD DESDE EL </t>
    </r>
  </si>
  <si>
    <t>MOMENTO DE LA ENTREGA MATERIAL Y HASTA EL TRASPASO DEL VEHÍCULO DE PLACA</t>
  </si>
  <si>
    <t xml:space="preserve">POR TODO TIPO DE RECLAMACIÓN, ACCIÓN JUDICIAL, CONCILIACIÓN, COBRO COACTIVO Y DEMÁS </t>
  </si>
  <si>
    <t>REQUERIMIENTOS QUE CUALQUIER PERSONA INTERPONGA SOBRE EL MISMO.</t>
  </si>
  <si>
    <r>
      <rPr>
        <b/>
        <color rgb="FF000000"/>
        <family val="1"/>
        <sz val="10"/>
        <rFont val="Times New Roman"/>
      </rPr>
      <t>SÉPTIMA</t>
    </r>
    <r>
      <rPr>
        <color rgb="FF000000"/>
        <family val="1"/>
        <sz val="10"/>
        <rFont val="Times New Roman"/>
      </rPr>
      <t>:</t>
    </r>
    <r>
      <rPr>
        <b/>
        <color rgb="FF000000"/>
        <family val="1"/>
        <sz val="10"/>
        <rFont val="Times New Roman"/>
      </rPr>
      <t xml:space="preserve"> TRAMITES</t>
    </r>
    <r>
      <rPr>
        <color rgb="FF000000"/>
        <family val="1"/>
        <sz val="10"/>
        <rFont val="Times New Roman"/>
      </rPr>
      <t>: EL COMPRADOR SE OBLIGA A REALIZAR LOS TRAMITES DE TRASPASO</t>
    </r>
    <r>
      <rPr>
        <color rgb="FF000000"/>
        <family val="1"/>
        <sz val="10"/>
        <rFont val="Times New Roman"/>
      </rPr>
      <t xml:space="preserve"> ANTE </t>
    </r>
  </si>
  <si>
    <t>LA AUTORIDAD CORRESPONDIENTE DEL VEHÍCULO DESCRITO, EN UN PLAZO DE 30 DIAS.</t>
  </si>
  <si>
    <r>
      <rPr>
        <b/>
        <color rgb="FF000000"/>
        <family val="1"/>
        <sz val="10"/>
        <rFont val="Times New Roman"/>
      </rPr>
      <t>OCTAVA</t>
    </r>
    <r>
      <rPr>
        <color rgb="FF000000"/>
        <family val="1"/>
        <sz val="10"/>
        <rFont val="Times New Roman"/>
      </rPr>
      <t>:  RESERVA  DEL DOMINIO : EL VENDEDOR  SE RESERVA  LA PROPIEDAD  DEL VEHICULO</t>
    </r>
  </si>
  <si>
    <t xml:space="preserve"> IDENTIFICADO  EN  LA  CLAUSULA PRIMERA DEL PRESENTE CONTRATO,HASTA EL MOMENTO EN </t>
  </si>
  <si>
    <t xml:space="preserve">QUE SE PAGUE EL PRECIO ESTIPULADO EN SU TOTALIDAD, DE CONFORMIDAD CON EL ARTICULO </t>
  </si>
  <si>
    <t>952 DEL CODIGO DE COMERCIO.</t>
  </si>
  <si>
    <r>
      <rPr>
        <b/>
        <color rgb="FF000000"/>
        <family val="1"/>
        <sz val="10"/>
        <rFont val="Times New Roman"/>
      </rPr>
      <t>NOVENA</t>
    </r>
    <r>
      <rPr>
        <color rgb="FF000000"/>
        <family val="1"/>
        <sz val="10"/>
        <rFont val="Times New Roman"/>
      </rPr>
      <t xml:space="preserve">: CLAUSULA PENAL: LAS PARTES ESTABLECEN COMO SANCION PECUNIARIA A CARGO DE </t>
    </r>
  </si>
  <si>
    <t xml:space="preserve">QUIEN  INCUMPLA  CUALQUIERA  DE LAS ESTIPULACIONES DERIVADAS DE ESTE ACTO JURIDICO, </t>
  </si>
  <si>
    <t>LA SUMA DE</t>
  </si>
  <si>
    <t>SIN PERJUICIO DE LA INDEMNIZACION A QUE HAYA LUGAR.</t>
  </si>
  <si>
    <r>
      <rPr>
        <b/>
        <color rgb="FF000000"/>
        <family val="1"/>
        <sz val="10"/>
        <rFont val="Times New Roman"/>
      </rPr>
      <t xml:space="preserve">DECIMA </t>
    </r>
    <r>
      <rPr>
        <color rgb="FF000000"/>
        <family val="1"/>
        <sz val="10"/>
        <rFont val="Times New Roman"/>
      </rPr>
      <t xml:space="preserve">: GASTOS : LOS  GASTOS  QUE  SE OCASIONEN  CON  MOTIVO  DE  LA  FIRMA  DE  ESTA </t>
    </r>
  </si>
  <si>
    <t>COMPRAVENTA  SERAN CUBIERTOS POR EL VENDEDOR.</t>
  </si>
  <si>
    <t xml:space="preserve">EN  CONSTANCIA  DE  LO  ANTERIOR , LOS  CONTRATANTES  SUSCRIBEN  ESTE  DOCUMENTO ANTE </t>
  </si>
  <si>
    <t>TESTIGOS  HABILES, EN LA CIUDAD DE  IBAGUE, EL DIA</t>
  </si>
  <si>
    <t>VENDEDOR</t>
  </si>
  <si>
    <t>COMPRADOR</t>
  </si>
  <si>
    <t>FIRMA</t>
  </si>
  <si>
    <t>DATOS TRASPASO</t>
  </si>
  <si>
    <t xml:space="preserve">MATRÍCULA/
REGISTRO</t>
  </si>
  <si>
    <t xml:space="preserve">TRANSLADO
MATRICULA/
REGISTRO</t>
  </si>
  <si>
    <t xml:space="preserve">RADICADO
MATRICULA/
REGISTRO</t>
  </si>
  <si>
    <t xml:space="preserve">CAMBIO
DE COLOR</t>
  </si>
  <si>
    <t xml:space="preserve">CAMBIO DE
SERVICIO</t>
  </si>
  <si>
    <t>1 APELLIDO</t>
  </si>
  <si>
    <t>2 APELLIDO</t>
  </si>
  <si>
    <t>CEDULA</t>
  </si>
  <si>
    <t>CELULAR</t>
  </si>
  <si>
    <t xml:space="preserve">REGRABAR
MOTOR</t>
  </si>
  <si>
    <t xml:space="preserve">REGRABAR
CHASIS</t>
  </si>
  <si>
    <t>TRANSFORMACIÓN</t>
  </si>
  <si>
    <t xml:space="preserve">DUPLICADO
LICENCIA
TRANSITO</t>
  </si>
  <si>
    <t xml:space="preserve">INSCRIPC.
PRENDA</t>
  </si>
  <si>
    <t xml:space="preserve">LEVANTA
PRENDA</t>
  </si>
  <si>
    <t>CORREO</t>
  </si>
  <si>
    <t>CUIDAD</t>
  </si>
  <si>
    <t xml:space="preserve">CANCELACIÓN
MATRICULA/
REGISTRO</t>
  </si>
  <si>
    <t xml:space="preserve">CAMBIO DE
PLACAS</t>
  </si>
  <si>
    <t xml:space="preserve">DUPLICADO
DE PLACAS</t>
  </si>
  <si>
    <t xml:space="preserve">CAMBIO DE
CARROCERÍA</t>
  </si>
  <si>
    <t xml:space="preserve">DATOS DEL VEHICULO </t>
  </si>
  <si>
    <t>NUMEROS</t>
  </si>
  <si>
    <t>CLASE DE VEHICULO</t>
  </si>
  <si>
    <t>CAMION</t>
  </si>
  <si>
    <t xml:space="preserve">TRACTO </t>
  </si>
  <si>
    <t xml:space="preserve">MOTOCARRO </t>
  </si>
  <si>
    <t xml:space="preserve">MOTOTRICICLO </t>
  </si>
  <si>
    <t xml:space="preserve">CUATRIMOTO </t>
  </si>
  <si>
    <t xml:space="preserve"> OTRO</t>
  </si>
  <si>
    <t xml:space="preserve">FECHA </t>
  </si>
  <si>
    <t xml:space="preserve">MES </t>
  </si>
  <si>
    <t>SERIE:</t>
  </si>
  <si>
    <t>VIN</t>
  </si>
  <si>
    <t>CILINDRAJE</t>
  </si>
  <si>
    <t>PASAJERO O CARGA</t>
  </si>
  <si>
    <t>POTENCIA</t>
  </si>
  <si>
    <t>OTROS DATOS</t>
  </si>
  <si>
    <t>VALOR DEL VEHICULO</t>
  </si>
  <si>
    <t>FORMA DE PAGO</t>
  </si>
  <si>
    <t>FECHA DE ENTREGA DEL VEHICULO</t>
  </si>
  <si>
    <t xml:space="preserve">TIPO DE SERVICIO </t>
  </si>
  <si>
    <t>DESTRATE</t>
  </si>
  <si>
    <t>LIQUIDACION DE TRAMITES DEL CENTRO</t>
  </si>
  <si>
    <t>IMPUESTOS</t>
  </si>
  <si>
    <t>RETENCION</t>
  </si>
  <si>
    <t>TARJETA DE PROPIEDAD</t>
  </si>
  <si>
    <t>TRASPASOS</t>
  </si>
  <si>
    <t>DERECHOS DE TRASPASO</t>
  </si>
  <si>
    <t>SOAT</t>
  </si>
  <si>
    <t>PAZ Y SALVO</t>
  </si>
  <si>
    <t>FOTOCOPIA CEDULA</t>
  </si>
  <si>
    <t>LEVANTAMIENTO DE PRENDA</t>
  </si>
  <si>
    <t>RUNT VENDEDOR</t>
  </si>
  <si>
    <t>INSCRIPCION DE PRENDA</t>
  </si>
  <si>
    <t>RUNT COMPRADOR</t>
  </si>
  <si>
    <t>PAPELRIA</t>
  </si>
  <si>
    <t>ANTECEDENTES COMPRADOR</t>
  </si>
  <si>
    <t>HONORARIOS</t>
  </si>
  <si>
    <t>ANTECEDENTES VENDEDOR</t>
  </si>
  <si>
    <t>IMPUESTO AÑO ACTUAL</t>
  </si>
  <si>
    <t>LEVAN PRENDA ORIGINAL</t>
  </si>
  <si>
    <t>IMPUESTO AÑOS VENCIDO</t>
  </si>
  <si>
    <t>INSCRIBE PRENDA ORIGINAL</t>
  </si>
  <si>
    <t>CAMARA COMERCIO</t>
  </si>
  <si>
    <t>CERTIFICADO IMPUESTOS</t>
  </si>
  <si>
    <t>DECLARACION EXTRAJUICIO</t>
  </si>
  <si>
    <t>PAZ Y SALVO EMPRESA</t>
  </si>
  <si>
    <t>CESION DERECHO EMPRESA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</si>
</sst>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color theme="1"/>
      <family val="2"/>
      <scheme val="minor"/>
      <sz val="11"/>
      <name val="Calibri"/>
    </font>
    <font>
      <charset val="204"/>
      <color rgb="FF000000"/>
      <sz val="10"/>
      <name val="Times New Roman"/>
    </font>
    <font>
      <b/>
      <family val="2"/>
      <sz val="8"/>
      <name val="Arial"/>
    </font>
    <font>
      <b/>
      <family val="2"/>
      <sz val="7"/>
      <name val="Arial"/>
    </font>
    <font>
      <family val="2"/>
      <sz val="6"/>
      <name val="Arial"/>
    </font>
    <font>
      <family val="2"/>
      <sz val="5"/>
      <name val="Arial"/>
    </font>
    <font>
      <b/>
      <family val="2"/>
      <sz val="6"/>
      <name val="Arial"/>
    </font>
    <font>
      <family val="2"/>
      <sz val="7"/>
      <name val="Arial"/>
    </font>
    <font>
      <color rgb="FF000000"/>
      <family val="1"/>
      <sz val="10"/>
      <name val="Times New Roman"/>
    </font>
    <font>
      <family val="2"/>
      <sz val="8"/>
      <name val="Arial"/>
    </font>
    <font>
      <family val="2"/>
      <sz val="20"/>
      <name val="Arial"/>
    </font>
    <font>
      <color rgb="FF000000"/>
      <family val="2"/>
      <sz val="10"/>
      <name val="Arial"/>
    </font>
    <font>
      <family val="2"/>
      <sz val="10"/>
      <name val="Arial"/>
    </font>
    <font>
      <family val="2"/>
      <sz val="14"/>
      <name val="Arial"/>
    </font>
    <font>
      <family val="2"/>
      <sz val="4"/>
      <name val="Arial"/>
    </font>
    <font>
      <family val="2"/>
      <sz val="11"/>
      <name val="Arial"/>
    </font>
    <font>
      <b/>
      <family val="2"/>
      <sz val="10"/>
      <name val="Arial"/>
    </font>
    <font>
      <b/>
      <color rgb="FF000000"/>
      <family val="1"/>
      <sz val="10"/>
      <name val="Times New Roman"/>
    </font>
    <font>
      <color rgb="FF000000"/>
      <family val="1"/>
      <sz val="11"/>
      <name val="Times New Roman"/>
    </font>
    <font>
      <color rgb="FF000000"/>
      <family val="1"/>
      <sz val="8"/>
      <name val="Times New Roman"/>
    </font>
    <font>
      <u/>
      <color theme="10"/>
      <family val="1"/>
      <sz val="10"/>
      <name val="Times New Roman"/>
    </font>
    <font>
      <b/>
      <color rgb="FF000000"/>
      <sz val="10"/>
      <name val="Montserrat"/>
    </font>
    <font>
      <b/>
      <color rgb="FF000000"/>
      <sz val="8"/>
      <name val="Montserrat"/>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theme="6" tint="0.7999816888943144"/>
        <bgColor indexed="64"/>
      </patternFill>
    </fill>
    <fill>
      <patternFill patternType="solid">
        <fgColor theme="6" tint="0.5999938962981048"/>
        <bgColor indexed="64"/>
      </patternFill>
    </fill>
    <fill>
      <patternFill patternType="solid">
        <fgColor theme="8"/>
        <bgColor indexed="64"/>
      </patternFill>
    </fill>
  </fills>
  <borders count="3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s>
  <cellStyleXfs count="1">
    <xf numFmtId="0" fontId="0" fillId="0" borderId="0"/>
  </cellStyleXfs>
  <cellXfs count="416">
    <xf numFmtId="0" fontId="0" fillId="0" borderId="0" xfId="0"/>
    <xf numFmtId="0" fontId="1" fillId="0" borderId="0" xfId="0" applyFont="1"/>
    <xf numFmtId="0" fontId="2" fillId="2" borderId="1" xfId="0" applyFont="1" applyFill="1" applyBorder="1" applyAlignment="1">
      <alignment horizontal="left"/>
    </xf>
    <xf numFmtId="0" fontId="2" fillId="2" borderId="2" xfId="0" applyFont="1" applyFill="1" applyBorder="1" applyAlignment="1">
      <alignment horizontal="left"/>
    </xf>
    <xf numFmtId="0" fontId="2" fillId="2" borderId="3" xfId="0" applyFont="1" applyFill="1" applyBorder="1" applyAlignment="1">
      <alignment horizontal="left"/>
    </xf>
    <xf numFmtId="0" fontId="3"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3" xfId="0" applyFont="1" applyFill="1" applyBorder="1"/>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1" fillId="0" borderId="2" xfId="0" applyFont="1" applyBorder="1"/>
    <xf numFmtId="0" fontId="2" fillId="3" borderId="4" xfId="0" applyFont="1" applyFill="1" applyBorder="1" applyAlignment="1">
      <alignment horizontal="center"/>
    </xf>
    <xf numFmtId="0" fontId="2" fillId="3" borderId="0" xfId="0" applyFont="1" applyFill="1" applyAlignment="1">
      <alignment horizontal="center"/>
    </xf>
    <xf numFmtId="0" fontId="1" fillId="2" borderId="5" xfId="0" applyFont="1" applyFill="1" applyBorder="1" applyAlignment="1">
      <alignment horizontal="center"/>
    </xf>
    <xf numFmtId="0" fontId="1" fillId="3" borderId="0" xfId="0" applyFont="1" applyFill="1" applyAlignment="1">
      <alignment horizontal="center"/>
    </xf>
    <xf numFmtId="0" fontId="1" fillId="2" borderId="6" xfId="0" applyFont="1" applyFill="1" applyBorder="1" applyAlignment="1">
      <alignment horizontal="center"/>
    </xf>
    <xf numFmtId="0" fontId="2" fillId="2" borderId="5"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6" xfId="0" applyFont="1" applyFill="1" applyBorder="1" applyAlignment="1">
      <alignment horizontal="center" vertical="center" wrapText="1"/>
    </xf>
    <xf numFmtId="0" fontId="4" fillId="2" borderId="6" xfId="0" applyFont="1" applyFill="1" applyBorder="1" applyAlignment="1">
      <alignment vertical="top"/>
    </xf>
    <xf numFmtId="0" fontId="4" fillId="2" borderId="7" xfId="0" applyFont="1" applyFill="1" applyBorder="1" applyAlignment="1">
      <alignment horizontal="left" vertical="top"/>
    </xf>
    <xf numFmtId="0" fontId="4" fillId="2" borderId="8" xfId="0" applyFont="1" applyFill="1" applyBorder="1" applyAlignment="1">
      <alignment horizontal="left" vertical="top"/>
    </xf>
    <xf numFmtId="0" fontId="4" fillId="2" borderId="9" xfId="0" applyFont="1" applyFill="1" applyBorder="1" applyAlignment="1">
      <alignment horizontal="left" vertical="top"/>
    </xf>
    <xf numFmtId="0" fontId="1" fillId="2" borderId="0" xfId="0" applyFont="1" applyFill="1"/>
    <xf numFmtId="0" fontId="4" fillId="2" borderId="4" xfId="0" applyFont="1" applyFill="1" applyBorder="1" applyAlignment="1">
      <alignment horizontal="center"/>
    </xf>
    <xf numFmtId="0" fontId="4" fillId="2" borderId="0" xfId="0" applyFont="1" applyFill="1" applyAlignment="1">
      <alignment horizontal="center"/>
    </xf>
    <xf numFmtId="0" fontId="1" fillId="2" borderId="5" xfId="0" applyFont="1" applyFill="1" applyBorder="1"/>
    <xf numFmtId="0" fontId="4" fillId="2" borderId="6" xfId="0" applyFont="1" applyFill="1" applyBorder="1"/>
    <xf numFmtId="0" fontId="4" fillId="0" borderId="7" xfId="0" applyFont="1" applyBorder="1" applyAlignment="1">
      <alignment horizontal="center"/>
    </xf>
    <xf numFmtId="0" fontId="4" fillId="0" borderId="9" xfId="0" applyFont="1" applyBorder="1" applyAlignment="1">
      <alignment horizontal="center"/>
    </xf>
    <xf numFmtId="0" fontId="4" fillId="2" borderId="7" xfId="0" applyFont="1" applyFill="1" applyBorder="1" applyAlignment="1">
      <alignment horizontal="center"/>
    </xf>
    <xf numFmtId="0" fontId="4" fillId="2" borderId="8" xfId="0" applyFont="1" applyFill="1" applyBorder="1" applyAlignment="1">
      <alignment horizontal="center"/>
    </xf>
    <xf numFmtId="0" fontId="4" fillId="2" borderId="9" xfId="0" applyFont="1" applyFill="1" applyBorder="1" applyAlignment="1">
      <alignment horizontal="center"/>
    </xf>
    <xf numFmtId="0" fontId="1" fillId="2" borderId="10"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11" xfId="0" applyFont="1" applyFill="1" applyBorder="1" applyAlignment="1">
      <alignment horizontal="center"/>
    </xf>
    <xf numFmtId="0" fontId="1" fillId="3" borderId="12" xfId="0" applyFont="1" applyFill="1" applyBorder="1" applyAlignment="1">
      <alignment horizontal="center"/>
    </xf>
    <xf numFmtId="0" fontId="1" fillId="3" borderId="13" xfId="0" applyFont="1" applyFill="1" applyBorder="1" applyAlignment="1">
      <alignment horizontal="center"/>
    </xf>
    <xf numFmtId="0" fontId="1" fillId="2" borderId="11" xfId="0" applyFont="1" applyFill="1" applyBorder="1"/>
    <xf numFmtId="0" fontId="1" fillId="2" borderId="12" xfId="0" applyFont="1" applyFill="1" applyBorder="1"/>
    <xf numFmtId="0" fontId="1" fillId="2" borderId="13" xfId="0" applyFont="1" applyFill="1" applyBorder="1"/>
    <xf numFmtId="0" fontId="1" fillId="2" borderId="6" xfId="0" applyFont="1" applyFill="1" applyBorder="1"/>
    <xf numFmtId="0" fontId="1" fillId="0" borderId="7" xfId="0" applyFont="1" applyBorder="1" applyAlignment="1">
      <alignment horizontal="center"/>
    </xf>
    <xf numFmtId="0" fontId="1" fillId="0" borderId="9" xfId="0" applyFont="1" applyBorder="1" applyAlignment="1">
      <alignment horizontal="center"/>
    </xf>
    <xf numFmtId="0" fontId="5" fillId="2" borderId="7" xfId="0" applyFont="1" applyFill="1" applyBorder="1" applyAlignment="1">
      <alignment horizontal="center" vertical="top"/>
    </xf>
    <xf numFmtId="0" fontId="5" fillId="2" borderId="8" xfId="0" applyFont="1" applyFill="1" applyBorder="1" applyAlignment="1">
      <alignment horizontal="center" vertical="top"/>
    </xf>
    <xf numFmtId="0" fontId="5" fillId="2" borderId="9" xfId="0" applyFont="1" applyFill="1" applyBorder="1" applyAlignment="1">
      <alignment horizontal="center" vertical="top"/>
    </xf>
    <xf numFmtId="0" fontId="5" fillId="2" borderId="4" xfId="0" applyFont="1" applyFill="1" applyBorder="1" applyAlignment="1">
      <alignment horizontal="center" vertical="top"/>
    </xf>
    <xf numFmtId="0" fontId="1" fillId="2" borderId="14" xfId="0" applyFont="1" applyFill="1" applyBorder="1" applyAlignment="1">
      <alignment horizontal="center" vertical="center"/>
    </xf>
    <xf numFmtId="0" fontId="1" fillId="3" borderId="13" xfId="0" applyFont="1" applyFill="1" applyBorder="1" applyAlignment="1">
      <alignment horizontal="center" vertical="center"/>
    </xf>
    <xf numFmtId="0" fontId="1" fillId="0" borderId="6" xfId="0" applyFont="1" applyBorder="1"/>
    <xf numFmtId="0" fontId="2" fillId="2" borderId="7" xfId="0" applyFont="1" applyFill="1" applyBorder="1" applyAlignment="1">
      <alignment horizontal="left"/>
    </xf>
    <xf numFmtId="0" fontId="2" fillId="2" borderId="8" xfId="0" applyFont="1" applyFill="1" applyBorder="1" applyAlignment="1">
      <alignment horizontal="left"/>
    </xf>
    <xf numFmtId="0" fontId="2" fillId="2" borderId="9" xfId="0" applyFont="1" applyFill="1" applyBorder="1" applyAlignment="1">
      <alignment horizontal="left"/>
    </xf>
    <xf numFmtId="0" fontId="2" fillId="2" borderId="4" xfId="0" applyFont="1" applyFill="1" applyBorder="1" applyAlignment="1">
      <alignment horizontal="lef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4" xfId="0" applyFont="1" applyFill="1" applyBorder="1" applyAlignment="1">
      <alignment horizontal="center" vertical="center"/>
    </xf>
    <xf numFmtId="0" fontId="2" fillId="2" borderId="0" xfId="0" applyFont="1" applyFill="1" applyAlignment="1">
      <alignment horizontal="center" vertical="center"/>
    </xf>
    <xf numFmtId="0" fontId="4" fillId="2" borderId="4" xfId="0" applyFont="1" applyFill="1" applyBorder="1" applyAlignment="1">
      <alignment horizontal="center" vertical="center" wrapText="1"/>
    </xf>
    <xf numFmtId="0" fontId="6" fillId="2" borderId="10" xfId="0" applyFont="1" applyFill="1" applyBorder="1" applyAlignment="1">
      <alignment horizontal="center"/>
    </xf>
    <xf numFmtId="0" fontId="6" fillId="2" borderId="0" xfId="0" applyFont="1" applyFill="1" applyAlignment="1">
      <alignment horizont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0" xfId="0" applyFont="1" applyFill="1" applyAlignment="1">
      <alignment horizontal="center" vertical="center"/>
    </xf>
    <xf numFmtId="0" fontId="6" fillId="2" borderId="15" xfId="0" applyFont="1" applyFill="1" applyBorder="1" applyAlignment="1">
      <alignment horizont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0" xfId="0" applyFont="1" applyFill="1" applyAlignment="1">
      <alignment horizontal="center" vertical="center"/>
    </xf>
    <xf numFmtId="0" fontId="8" fillId="0" borderId="0" xfId="0" applyFont="1"/>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0" xfId="0" applyFont="1" applyFill="1" applyAlignment="1">
      <alignment horizontal="center" vertical="center"/>
    </xf>
    <xf numFmtId="0" fontId="4" fillId="2" borderId="15"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0" xfId="0" applyFont="1" applyFill="1" applyAlignment="1">
      <alignment horizontal="center" vertical="center" wrapText="1"/>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0" xfId="0" applyFont="1" applyFill="1" applyAlignment="1">
      <alignment horizontal="center"/>
    </xf>
    <xf numFmtId="0" fontId="4" fillId="2" borderId="14"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1" fillId="2" borderId="11" xfId="0" applyFont="1" applyFill="1" applyBorder="1" applyAlignment="1">
      <alignment horizontal="center"/>
    </xf>
    <xf numFmtId="0" fontId="1" fillId="2" borderId="12" xfId="0" applyFont="1" applyFill="1" applyBorder="1" applyAlignment="1">
      <alignment horizontal="center"/>
    </xf>
    <xf numFmtId="0" fontId="1" fillId="2" borderId="13" xfId="0" applyFont="1" applyFill="1" applyBorder="1" applyAlignment="1">
      <alignment horizontal="center"/>
    </xf>
    <xf numFmtId="0" fontId="4" fillId="2" borderId="0" xfId="0" applyFont="1" applyFill="1" applyAlignment="1">
      <alignment vertical="top" wrapText="1"/>
    </xf>
    <xf numFmtId="0" fontId="4" fillId="2" borderId="10" xfId="0" applyFont="1" applyFill="1" applyBorder="1" applyAlignment="1">
      <alignment horizontal="left" vertical="top" wrapText="1"/>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3" fillId="2" borderId="7" xfId="0" applyFont="1" applyFill="1" applyBorder="1" applyAlignment="1">
      <alignment horizontal="left"/>
    </xf>
    <xf numFmtId="0" fontId="3" fillId="2" borderId="8" xfId="0" applyFont="1" applyFill="1" applyBorder="1" applyAlignment="1">
      <alignment horizontal="left"/>
    </xf>
    <xf numFmtId="0" fontId="3" fillId="2" borderId="9" xfId="0" applyFont="1" applyFill="1" applyBorder="1" applyAlignment="1">
      <alignment horizontal="left"/>
    </xf>
    <xf numFmtId="0" fontId="2" fillId="2" borderId="4" xfId="0" applyFont="1" applyFill="1" applyBorder="1" applyAlignment="1">
      <alignment horizontal="center"/>
    </xf>
    <xf numFmtId="0" fontId="2" fillId="2" borderId="0" xfId="0" applyFont="1" applyFill="1" applyAlignment="1">
      <alignment horizontal="center"/>
    </xf>
    <xf numFmtId="0" fontId="4" fillId="2" borderId="12" xfId="0" applyFont="1" applyFill="1" applyBorder="1" applyAlignment="1">
      <alignment vertical="top" wrapText="1"/>
    </xf>
    <xf numFmtId="0" fontId="4" fillId="2" borderId="14" xfId="0" applyFont="1" applyFill="1" applyBorder="1" applyAlignment="1">
      <alignment horizontal="left" vertical="top" wrapText="1"/>
    </xf>
    <xf numFmtId="0" fontId="9" fillId="2" borderId="7" xfId="0" applyFont="1" applyFill="1" applyBorder="1" applyAlignment="1">
      <alignment horizontal="left" vertical="top"/>
    </xf>
    <xf numFmtId="0" fontId="9" fillId="2" borderId="8" xfId="0" applyFont="1" applyFill="1" applyBorder="1" applyAlignment="1">
      <alignment horizontal="left" vertical="top"/>
    </xf>
    <xf numFmtId="0" fontId="9" fillId="2" borderId="9" xfId="0" applyFont="1" applyFill="1" applyBorder="1" applyAlignment="1">
      <alignment horizontal="left" vertical="top"/>
    </xf>
    <xf numFmtId="0" fontId="4" fillId="2" borderId="5" xfId="0" applyFont="1" applyFill="1" applyBorder="1" applyAlignment="1">
      <alignment vertical="center" wrapText="1"/>
    </xf>
    <xf numFmtId="0" fontId="4" fillId="2" borderId="0" xfId="0" applyFont="1" applyFill="1" applyAlignment="1">
      <alignment vertical="center" wrapText="1"/>
    </xf>
    <xf numFmtId="0" fontId="2" fillId="2" borderId="4" xfId="0" applyFont="1" applyFill="1" applyBorder="1" applyAlignment="1">
      <alignment horizontal="center" vertical="center" wrapText="1"/>
    </xf>
    <xf numFmtId="0" fontId="2" fillId="2" borderId="0" xfId="0" applyFont="1" applyFill="1"/>
    <xf numFmtId="0" fontId="2" fillId="2" borderId="1" xfId="0" applyFont="1" applyFill="1" applyBorder="1" applyAlignment="1">
      <alignment horizontal="center"/>
    </xf>
    <xf numFmtId="0" fontId="2" fillId="2" borderId="2" xfId="0" applyFont="1" applyFill="1" applyBorder="1" applyAlignment="1">
      <alignment horizontal="center"/>
    </xf>
    <xf numFmtId="0" fontId="4" fillId="2" borderId="4" xfId="0" applyFont="1" applyFill="1" applyBorder="1" applyAlignment="1">
      <alignment horizontal="center" vertical="center"/>
    </xf>
    <xf numFmtId="0" fontId="7" fillId="2" borderId="4" xfId="0" applyFont="1" applyFill="1" applyBorder="1" applyAlignment="1">
      <alignment horizontal="left"/>
    </xf>
    <xf numFmtId="0" fontId="7" fillId="2" borderId="7" xfId="0" applyFont="1" applyFill="1" applyBorder="1" applyAlignment="1">
      <alignment horizontal="left"/>
    </xf>
    <xf numFmtId="0" fontId="7" fillId="2" borderId="8" xfId="0" applyFont="1" applyFill="1" applyBorder="1" applyAlignment="1">
      <alignment horizontal="left"/>
    </xf>
    <xf numFmtId="0" fontId="7" fillId="2" borderId="9" xfId="0" applyFont="1" applyFill="1" applyBorder="1" applyAlignment="1">
      <alignment horizontal="left"/>
    </xf>
    <xf numFmtId="0" fontId="7" fillId="2" borderId="7" xfId="0" applyFont="1" applyFill="1" applyBorder="1" applyAlignment="1">
      <alignment horizontal="center"/>
    </xf>
    <xf numFmtId="0" fontId="7" fillId="2" borderId="9" xfId="0" applyFont="1" applyFill="1" applyBorder="1" applyAlignment="1">
      <alignment horizontal="center"/>
    </xf>
    <xf numFmtId="0" fontId="7" fillId="2" borderId="0" xfId="0" applyFont="1" applyFill="1" applyAlignment="1">
      <alignment horizontal="center"/>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0" fillId="2" borderId="4"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0" fontId="1" fillId="2" borderId="9" xfId="0" applyFont="1" applyFill="1" applyBorder="1" applyAlignment="1">
      <alignment horizontal="left" vertical="top"/>
    </xf>
    <xf numFmtId="0" fontId="1" fillId="2" borderId="0" xfId="0" applyFont="1" applyFill="1" applyAlignment="1">
      <alignment horizontal="left" vertical="top"/>
    </xf>
    <xf numFmtId="0" fontId="7" fillId="2" borderId="1" xfId="0" applyFont="1" applyFill="1" applyBorder="1" applyAlignment="1">
      <alignment horizontal="left"/>
    </xf>
    <xf numFmtId="0" fontId="7" fillId="2" borderId="2" xfId="0" applyFont="1" applyFill="1" applyBorder="1" applyAlignment="1">
      <alignment horizontal="left"/>
    </xf>
    <xf numFmtId="0" fontId="7" fillId="2" borderId="3" xfId="0" applyFont="1" applyFill="1" applyBorder="1" applyAlignment="1">
      <alignment horizontal="left"/>
    </xf>
    <xf numFmtId="0" fontId="10" fillId="2" borderId="7" xfId="0" applyFont="1" applyFill="1" applyBorder="1" applyAlignment="1">
      <alignment horizontal="center" vertical="center"/>
    </xf>
    <xf numFmtId="0" fontId="10" fillId="2" borderId="8" xfId="0" applyFont="1" applyFill="1" applyBorder="1" applyAlignment="1">
      <alignment horizontal="center" vertical="center"/>
    </xf>
    <xf numFmtId="0" fontId="10" fillId="2" borderId="9" xfId="0" applyFont="1" applyFill="1" applyBorder="1" applyAlignment="1">
      <alignment horizontal="center" vertical="center"/>
    </xf>
    <xf numFmtId="0" fontId="7" fillId="2" borderId="1" xfId="0" applyFont="1" applyFill="1" applyBorder="1" applyAlignment="1">
      <alignment horizontal="center"/>
    </xf>
    <xf numFmtId="0" fontId="7" fillId="2" borderId="2" xfId="0" applyFont="1" applyFill="1" applyBorder="1" applyAlignment="1">
      <alignment horizontal="center"/>
    </xf>
    <xf numFmtId="0" fontId="7" fillId="2" borderId="3" xfId="0" applyFont="1" applyFill="1" applyBorder="1" applyAlignment="1">
      <alignment horizontal="center"/>
    </xf>
    <xf numFmtId="0" fontId="12" fillId="2" borderId="1"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9" fillId="2" borderId="1" xfId="0" applyFont="1" applyFill="1" applyBorder="1" applyAlignment="1">
      <alignment horizontal="left" vertical="center"/>
    </xf>
    <xf numFmtId="0" fontId="9" fillId="2" borderId="3" xfId="0" applyFont="1" applyFill="1" applyBorder="1" applyAlignment="1">
      <alignment horizontal="left" vertical="center"/>
    </xf>
    <xf numFmtId="0" fontId="9" fillId="2" borderId="0" xfId="0" applyFont="1" applyFill="1" applyAlignment="1">
      <alignment horizontal="left" vertical="center"/>
    </xf>
    <xf numFmtId="0" fontId="4" fillId="2" borderId="5" xfId="0" applyFont="1" applyFill="1" applyBorder="1" applyAlignment="1">
      <alignment horizontal="center" vertical="center"/>
    </xf>
    <xf numFmtId="0" fontId="4" fillId="2" borderId="0" xfId="0" applyFont="1" applyFill="1" applyAlignment="1">
      <alignment horizontal="center" vertical="center"/>
    </xf>
    <xf numFmtId="0" fontId="1" fillId="0" borderId="0" xfId="0" applyFont="1" applyAlignment="1">
      <alignment horizontal="center"/>
    </xf>
    <xf numFmtId="0" fontId="4" fillId="2" borderId="0" xfId="0" applyFont="1" applyFill="1" applyAlignment="1">
      <alignment horizontal="left" vertical="center"/>
    </xf>
    <xf numFmtId="0" fontId="7" fillId="2" borderId="11" xfId="0" applyFont="1" applyFill="1" applyBorder="1" applyAlignment="1">
      <alignment horizontal="center"/>
    </xf>
    <xf numFmtId="0" fontId="7" fillId="2" borderId="12" xfId="0" applyFont="1" applyFill="1" applyBorder="1" applyAlignment="1">
      <alignment horizontal="center"/>
    </xf>
    <xf numFmtId="0" fontId="7" fillId="2" borderId="13" xfId="0" applyFont="1" applyFill="1" applyBorder="1" applyAlignment="1">
      <alignment horizontal="center"/>
    </xf>
    <xf numFmtId="0" fontId="12" fillId="2" borderId="11" xfId="0" applyFont="1" applyFill="1" applyBorder="1" applyAlignment="1">
      <alignment horizontal="center" vertical="center"/>
    </xf>
    <xf numFmtId="0" fontId="12" fillId="2" borderId="12" xfId="0" applyFont="1" applyFill="1" applyBorder="1" applyAlignment="1">
      <alignment horizontal="center" vertical="center"/>
    </xf>
    <xf numFmtId="0" fontId="12" fillId="2" borderId="13" xfId="0" applyFont="1" applyFill="1" applyBorder="1" applyAlignment="1">
      <alignment horizontal="center" vertical="center"/>
    </xf>
    <xf numFmtId="0" fontId="9" fillId="2" borderId="11" xfId="0" applyFont="1" applyFill="1" applyBorder="1" applyAlignment="1">
      <alignment horizontal="left" vertical="center"/>
    </xf>
    <xf numFmtId="0" fontId="9" fillId="2" borderId="13" xfId="0" applyFont="1" applyFill="1" applyBorder="1" applyAlignment="1">
      <alignment horizontal="left" vertical="center"/>
    </xf>
    <xf numFmtId="0" fontId="2" fillId="2" borderId="1" xfId="0" applyFont="1" applyFill="1" applyBorder="1" applyAlignment="1">
      <alignment horizontal="center" vertical="center" wrapText="1"/>
    </xf>
    <xf numFmtId="0" fontId="5" fillId="2" borderId="0" xfId="0" applyFont="1" applyFill="1" applyAlignment="1">
      <alignment horizontal="center"/>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8" fillId="2" borderId="7" xfId="0" applyFont="1" applyFill="1" applyBorder="1" applyAlignment="1">
      <alignment horizontal="center" vertical="center"/>
    </xf>
    <xf numFmtId="0" fontId="8" fillId="3" borderId="8" xfId="0" applyFont="1" applyFill="1" applyBorder="1" applyAlignment="1">
      <alignment horizontal="center" vertical="center"/>
    </xf>
    <xf numFmtId="0" fontId="8" fillId="2" borderId="9" xfId="0" applyFont="1" applyFill="1" applyBorder="1" applyAlignment="1">
      <alignment horizontal="center" vertical="center"/>
    </xf>
    <xf numFmtId="0" fontId="9" fillId="2" borderId="7" xfId="0" applyFont="1" applyFill="1" applyBorder="1" applyAlignment="1">
      <alignment horizontal="left" vertical="center"/>
    </xf>
    <xf numFmtId="0" fontId="9" fillId="2" borderId="9" xfId="0" applyFont="1" applyFill="1" applyBorder="1" applyAlignment="1">
      <alignment horizontal="left" vertical="center"/>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7" fillId="2" borderId="4" xfId="0" applyFont="1" applyFill="1" applyBorder="1" applyAlignment="1">
      <alignment horizontal="center" vertical="top"/>
    </xf>
    <xf numFmtId="0" fontId="7" fillId="2" borderId="7" xfId="0" applyFont="1" applyFill="1" applyBorder="1" applyAlignment="1">
      <alignment horizontal="center" vertical="top"/>
    </xf>
    <xf numFmtId="0" fontId="7" fillId="2" borderId="8" xfId="0" applyFont="1" applyFill="1" applyBorder="1" applyAlignment="1">
      <alignment horizontal="center" vertical="top"/>
    </xf>
    <xf numFmtId="0" fontId="7" fillId="2" borderId="9" xfId="0" applyFont="1" applyFill="1" applyBorder="1" applyAlignment="1">
      <alignment horizontal="center" vertical="top"/>
    </xf>
    <xf numFmtId="0" fontId="7" fillId="2" borderId="0" xfId="0" applyFont="1" applyFill="1" applyAlignment="1">
      <alignment horizontal="left"/>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7" fillId="2" borderId="4" xfId="0" applyFont="1" applyFill="1" applyBorder="1" applyAlignment="1">
      <alignment horizontal="center" vertical="justify" wrapText="1"/>
    </xf>
    <xf numFmtId="0" fontId="5" fillId="2" borderId="10" xfId="0" applyFont="1" applyFill="1" applyBorder="1" applyAlignment="1">
      <alignment horizontal="center" vertical="justify" wrapText="1"/>
    </xf>
    <xf numFmtId="0" fontId="7" fillId="2" borderId="4" xfId="0" applyFont="1" applyFill="1" applyBorder="1" applyAlignment="1">
      <alignment horizontal="center" vertical="justify"/>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5" fillId="2" borderId="14" xfId="0" applyFont="1" applyFill="1" applyBorder="1" applyAlignment="1">
      <alignment horizontal="center" vertical="justify" wrapText="1"/>
    </xf>
    <xf numFmtId="0" fontId="14" fillId="2" borderId="0" xfId="0" applyFont="1" applyFill="1" applyAlignment="1">
      <alignment horizontal="center" vertical="center" wrapText="1"/>
    </xf>
    <xf numFmtId="0" fontId="11" fillId="3" borderId="11" xfId="0" applyFont="1" applyFill="1" applyBorder="1" applyAlignment="1">
      <alignment horizontal="center" vertical="center"/>
    </xf>
    <xf numFmtId="0" fontId="11" fillId="3" borderId="12" xfId="0" applyFont="1" applyFill="1" applyBorder="1" applyAlignment="1">
      <alignment horizontal="center" vertical="center"/>
    </xf>
    <xf numFmtId="0" fontId="11" fillId="3" borderId="1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2" xfId="0" applyFont="1" applyFill="1" applyBorder="1" applyAlignment="1">
      <alignment horizontal="center" vertical="center"/>
    </xf>
    <xf numFmtId="0" fontId="15" fillId="2" borderId="1" xfId="0" applyFont="1" applyFill="1" applyBorder="1" applyAlignment="1">
      <alignment horizontal="center"/>
    </xf>
    <xf numFmtId="0" fontId="15" fillId="2" borderId="2" xfId="0" applyFont="1" applyFill="1" applyBorder="1" applyAlignment="1">
      <alignment horizontal="center"/>
    </xf>
    <xf numFmtId="0" fontId="15" fillId="2" borderId="3" xfId="0" applyFont="1" applyFill="1" applyBorder="1" applyAlignment="1">
      <alignment horizontal="center"/>
    </xf>
    <xf numFmtId="0" fontId="7" fillId="2" borderId="4" xfId="0" applyFont="1" applyFill="1" applyBorder="1" applyAlignment="1">
      <alignment horizontal="left" vertical="top"/>
    </xf>
    <xf numFmtId="0" fontId="7" fillId="2" borderId="6" xfId="0" applyFont="1" applyFill="1" applyBorder="1" applyAlignment="1">
      <alignment horizontal="left"/>
    </xf>
    <xf numFmtId="0" fontId="4" fillId="2" borderId="11"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12" xfId="0" applyFont="1" applyFill="1" applyBorder="1" applyAlignment="1">
      <alignment horizontal="center" vertical="center"/>
    </xf>
    <xf numFmtId="0" fontId="15" fillId="2" borderId="11" xfId="0" applyFont="1" applyFill="1" applyBorder="1" applyAlignment="1">
      <alignment horizontal="center"/>
    </xf>
    <xf numFmtId="0" fontId="15" fillId="2" borderId="12" xfId="0" applyFont="1" applyFill="1" applyBorder="1" applyAlignment="1">
      <alignment horizontal="center"/>
    </xf>
    <xf numFmtId="0" fontId="15" fillId="2" borderId="13" xfId="0" applyFont="1" applyFill="1" applyBorder="1" applyAlignment="1">
      <alignment horizontal="center"/>
    </xf>
    <xf numFmtId="0" fontId="7" fillId="2" borderId="1" xfId="0" applyFont="1" applyFill="1" applyBorder="1" applyAlignment="1">
      <alignment horizontal="center" vertical="top"/>
    </xf>
    <xf numFmtId="0" fontId="7" fillId="2" borderId="2" xfId="0" applyFont="1" applyFill="1" applyBorder="1" applyAlignment="1">
      <alignment horizontal="center" vertical="top"/>
    </xf>
    <xf numFmtId="0" fontId="7" fillId="2" borderId="3" xfId="0" applyFont="1" applyFill="1" applyBorder="1" applyAlignment="1">
      <alignment horizontal="center" vertical="top"/>
    </xf>
    <xf numFmtId="0" fontId="4" fillId="2" borderId="7" xfId="0" applyFont="1" applyFill="1" applyBorder="1" applyAlignment="1">
      <alignment horizontal="left"/>
    </xf>
    <xf numFmtId="0" fontId="4" fillId="2" borderId="8" xfId="0" applyFont="1" applyFill="1" applyBorder="1" applyAlignment="1">
      <alignment horizontal="left"/>
    </xf>
    <xf numFmtId="0" fontId="4" fillId="2" borderId="9" xfId="0" applyFont="1" applyFill="1" applyBorder="1" applyAlignment="1">
      <alignment horizontal="left"/>
    </xf>
    <xf numFmtId="0" fontId="7" fillId="2" borderId="5" xfId="0" applyFont="1" applyFill="1" applyBorder="1" applyAlignment="1">
      <alignment horizontal="center" vertical="top"/>
    </xf>
    <xf numFmtId="0" fontId="7" fillId="2" borderId="0" xfId="0" applyFont="1" applyFill="1" applyAlignment="1">
      <alignment horizontal="center" vertical="top"/>
    </xf>
    <xf numFmtId="0" fontId="7" fillId="2" borderId="6" xfId="0" applyFont="1" applyFill="1" applyBorder="1" applyAlignment="1">
      <alignment horizontal="center" vertical="top"/>
    </xf>
    <xf numFmtId="0" fontId="7" fillId="2" borderId="10" xfId="0" applyFont="1" applyFill="1" applyBorder="1" applyAlignment="1">
      <alignment horizontal="center" vertical="top"/>
    </xf>
    <xf numFmtId="0" fontId="5" fillId="2" borderId="0" xfId="0" applyFont="1" applyFill="1" applyAlignment="1">
      <alignment horizontal="center" vertical="center" wrapText="1"/>
    </xf>
    <xf numFmtId="0" fontId="4" fillId="2" borderId="4" xfId="0" applyFont="1" applyFill="1" applyBorder="1" applyAlignment="1">
      <alignment horizontal="center" vertical="top"/>
    </xf>
    <xf numFmtId="0" fontId="4" fillId="2" borderId="8" xfId="0" applyFont="1" applyFill="1" applyBorder="1" applyAlignment="1">
      <alignment horizontal="center" vertical="top"/>
    </xf>
    <xf numFmtId="0" fontId="4" fillId="2" borderId="9" xfId="0" applyFont="1" applyFill="1" applyBorder="1" applyAlignment="1">
      <alignment horizontal="center" vertical="top"/>
    </xf>
    <xf numFmtId="0" fontId="4" fillId="2" borderId="0" xfId="0" applyFont="1" applyFill="1" applyAlignment="1">
      <alignment horizontal="center" vertical="top"/>
    </xf>
    <xf numFmtId="0" fontId="12" fillId="2" borderId="7" xfId="0" applyFont="1" applyFill="1" applyBorder="1" applyAlignment="1">
      <alignment horizontal="center" vertical="center"/>
    </xf>
    <xf numFmtId="0" fontId="12" fillId="2" borderId="8" xfId="0" applyFont="1" applyFill="1" applyBorder="1" applyAlignment="1">
      <alignment horizontal="center" vertical="center"/>
    </xf>
    <xf numFmtId="0" fontId="12" fillId="2" borderId="9" xfId="0" applyFont="1" applyFill="1" applyBorder="1" applyAlignment="1">
      <alignment horizontal="center" vertical="center"/>
    </xf>
    <xf numFmtId="0" fontId="7" fillId="2" borderId="11" xfId="0" applyFont="1" applyFill="1" applyBorder="1" applyAlignment="1">
      <alignment horizontal="center" vertical="top"/>
    </xf>
    <xf numFmtId="0" fontId="7" fillId="2" borderId="12" xfId="0" applyFont="1" applyFill="1" applyBorder="1" applyAlignment="1">
      <alignment horizontal="center" vertical="top"/>
    </xf>
    <xf numFmtId="0" fontId="7" fillId="2" borderId="13" xfId="0" applyFont="1" applyFill="1" applyBorder="1" applyAlignment="1">
      <alignment horizontal="center" vertical="top"/>
    </xf>
    <xf numFmtId="0" fontId="7" fillId="2" borderId="14" xfId="0" applyFont="1" applyFill="1" applyBorder="1" applyAlignment="1">
      <alignment horizontal="center" vertical="top"/>
    </xf>
    <xf numFmtId="0" fontId="7" fillId="2" borderId="4" xfId="0" applyFont="1" applyFill="1" applyBorder="1" applyAlignment="1">
      <alignment horizontal="center" vertical="top" wrapText="1"/>
    </xf>
    <xf numFmtId="0" fontId="7" fillId="2" borderId="1" xfId="0" applyFont="1" applyFill="1" applyBorder="1" applyAlignment="1">
      <alignment horizontal="center" vertical="top" wrapText="1"/>
    </xf>
    <xf numFmtId="0" fontId="6" fillId="2" borderId="7" xfId="0" applyFont="1" applyFill="1" applyBorder="1" applyAlignment="1">
      <alignment horizontal="left"/>
    </xf>
    <xf numFmtId="0" fontId="6" fillId="2" borderId="8" xfId="0" applyFont="1" applyFill="1" applyBorder="1" applyAlignment="1">
      <alignment horizontal="left"/>
    </xf>
    <xf numFmtId="0" fontId="6" fillId="2" borderId="9" xfId="0" applyFont="1" applyFill="1" applyBorder="1" applyAlignment="1">
      <alignment horizontal="left"/>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11" xfId="0" applyFont="1" applyFill="1" applyBorder="1" applyAlignment="1">
      <alignment horizontal="center"/>
    </xf>
    <xf numFmtId="0" fontId="4" fillId="2" borderId="12" xfId="0" applyFont="1" applyFill="1" applyBorder="1" applyAlignment="1">
      <alignment horizontal="center"/>
    </xf>
    <xf numFmtId="0" fontId="4" fillId="2" borderId="13" xfId="0" applyFont="1" applyFill="1" applyBorder="1" applyAlignment="1">
      <alignment horizontal="center"/>
    </xf>
    <xf numFmtId="0" fontId="7" fillId="3" borderId="10"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7" fillId="3" borderId="1" xfId="0" applyFont="1" applyFill="1" applyBorder="1" applyAlignment="1">
      <alignment horizontal="left" vertical="top" wrapText="1"/>
    </xf>
    <xf numFmtId="0" fontId="7" fillId="3" borderId="3" xfId="0" applyFont="1" applyFill="1" applyBorder="1" applyAlignment="1">
      <alignment horizontal="left" vertical="top"/>
    </xf>
    <xf numFmtId="0" fontId="7" fillId="2" borderId="0" xfId="0" applyFont="1" applyFill="1" applyAlignment="1">
      <alignment vertical="center"/>
    </xf>
    <xf numFmtId="0" fontId="7" fillId="2" borderId="1" xfId="0" applyFont="1" applyFill="1" applyBorder="1" applyAlignment="1">
      <alignment vertical="top"/>
    </xf>
    <xf numFmtId="0" fontId="7" fillId="2" borderId="2" xfId="0" applyFont="1" applyFill="1" applyBorder="1" applyAlignment="1">
      <alignment vertical="top"/>
    </xf>
    <xf numFmtId="0" fontId="7" fillId="2" borderId="1" xfId="0" applyFont="1" applyFill="1" applyBorder="1" applyAlignment="1">
      <alignment horizontal="left" vertical="top"/>
    </xf>
    <xf numFmtId="0" fontId="7" fillId="2" borderId="3" xfId="0" applyFont="1" applyFill="1" applyBorder="1" applyAlignment="1">
      <alignment horizontal="left" vertical="top"/>
    </xf>
    <xf numFmtId="0" fontId="7" fillId="2" borderId="0" xfId="0" applyFont="1" applyFill="1" applyAlignment="1">
      <alignment horizontal="left" vertical="top"/>
    </xf>
    <xf numFmtId="0" fontId="1" fillId="0" borderId="1" xfId="0" applyFont="1" applyBorder="1" applyAlignment="1">
      <alignment horizontal="center"/>
    </xf>
    <xf numFmtId="0" fontId="1" fillId="0" borderId="2" xfId="0" applyFont="1" applyBorder="1" applyAlignment="1">
      <alignment horizontal="center"/>
    </xf>
    <xf numFmtId="0" fontId="7" fillId="3" borderId="15" xfId="0" applyFont="1" applyFill="1" applyBorder="1" applyAlignment="1">
      <alignment horizontal="center" vertical="center"/>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7" fillId="3" borderId="5" xfId="0" applyFont="1" applyFill="1" applyBorder="1" applyAlignment="1">
      <alignment horizontal="left" vertical="top"/>
    </xf>
    <xf numFmtId="0" fontId="7" fillId="3" borderId="6" xfId="0" applyFont="1" applyFill="1" applyBorder="1" applyAlignment="1">
      <alignment horizontal="left" vertical="top"/>
    </xf>
    <xf numFmtId="0" fontId="7" fillId="2" borderId="5" xfId="0" applyFont="1" applyFill="1" applyBorder="1" applyAlignment="1">
      <alignment vertical="top"/>
    </xf>
    <xf numFmtId="0" fontId="7" fillId="2" borderId="0" xfId="0" applyFont="1" applyFill="1" applyAlignment="1">
      <alignment vertical="top"/>
    </xf>
    <xf numFmtId="0" fontId="7" fillId="2" borderId="5" xfId="0" applyFont="1" applyFill="1" applyBorder="1" applyAlignment="1">
      <alignment horizontal="left" vertical="top"/>
    </xf>
    <xf numFmtId="0" fontId="7" fillId="2" borderId="6" xfId="0" applyFont="1" applyFill="1" applyBorder="1" applyAlignment="1">
      <alignment horizontal="left" vertical="top"/>
    </xf>
    <xf numFmtId="0" fontId="7" fillId="3" borderId="14" xfId="0" applyFont="1" applyFill="1" applyBorder="1" applyAlignment="1">
      <alignment horizontal="center" vertical="center"/>
    </xf>
    <xf numFmtId="0" fontId="4" fillId="3" borderId="11"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7" fillId="3" borderId="11" xfId="0" applyFont="1" applyFill="1" applyBorder="1" applyAlignment="1">
      <alignment horizontal="left" vertical="top"/>
    </xf>
    <xf numFmtId="0" fontId="7" fillId="3" borderId="13" xfId="0" applyFont="1" applyFill="1" applyBorder="1" applyAlignment="1">
      <alignment horizontal="left" vertical="top"/>
    </xf>
    <xf numFmtId="0" fontId="7" fillId="2" borderId="11" xfId="0" applyFont="1" applyFill="1" applyBorder="1" applyAlignment="1">
      <alignment vertical="top"/>
    </xf>
    <xf numFmtId="0" fontId="7" fillId="2" borderId="12" xfId="0" applyFont="1" applyFill="1" applyBorder="1" applyAlignment="1">
      <alignment vertical="top"/>
    </xf>
    <xf numFmtId="0" fontId="7" fillId="2" borderId="11" xfId="0" applyFont="1" applyFill="1" applyBorder="1" applyAlignment="1">
      <alignment horizontal="left" vertical="top"/>
    </xf>
    <xf numFmtId="0" fontId="7" fillId="2" borderId="13" xfId="0" applyFont="1" applyFill="1" applyBorder="1" applyAlignment="1">
      <alignment horizontal="left" vertical="top"/>
    </xf>
    <xf numFmtId="0" fontId="1" fillId="0" borderId="12" xfId="0" applyFont="1" applyBorder="1" applyAlignment="1">
      <alignment horizontal="center"/>
    </xf>
    <xf numFmtId="0" fontId="1" fillId="0" borderId="13" xfId="0" applyFont="1" applyBorder="1" applyAlignment="1">
      <alignment horizontal="center"/>
    </xf>
    <xf numFmtId="0" fontId="13" fillId="2" borderId="1"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1"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2" borderId="5" xfId="0" applyFont="1" applyFill="1" applyBorder="1" applyAlignment="1">
      <alignment horizontal="center" vertical="center" wrapText="1"/>
    </xf>
    <xf numFmtId="0" fontId="13" fillId="2" borderId="0" xfId="0" applyFont="1" applyFill="1" applyAlignment="1">
      <alignment horizontal="center" vertical="center" wrapText="1"/>
    </xf>
    <xf numFmtId="0" fontId="13" fillId="2" borderId="6" xfId="0" applyFont="1" applyFill="1" applyBorder="1" applyAlignment="1">
      <alignment horizontal="center" vertical="center" wrapText="1"/>
    </xf>
    <xf numFmtId="0" fontId="13" fillId="2" borderId="5" xfId="0" applyFont="1" applyFill="1" applyBorder="1" applyAlignment="1">
      <alignment horizontal="center" vertical="center"/>
    </xf>
    <xf numFmtId="0" fontId="13" fillId="2" borderId="0" xfId="0" applyFont="1" applyFill="1" applyAlignment="1">
      <alignment horizontal="center" vertical="center"/>
    </xf>
    <xf numFmtId="0" fontId="13" fillId="2" borderId="6" xfId="0" applyFont="1" applyFill="1" applyBorder="1" applyAlignment="1">
      <alignment horizontal="center" vertical="center"/>
    </xf>
    <xf numFmtId="0" fontId="7" fillId="3" borderId="2"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0" xfId="0" applyFont="1" applyFill="1" applyAlignment="1">
      <alignment horizontal="center" vertical="center"/>
    </xf>
    <xf numFmtId="0" fontId="13" fillId="2" borderId="11"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3" fillId="2" borderId="11" xfId="0" applyFont="1" applyFill="1" applyBorder="1" applyAlignment="1">
      <alignment horizontal="center" vertical="center"/>
    </xf>
    <xf numFmtId="0" fontId="13" fillId="2" borderId="12" xfId="0" applyFont="1" applyFill="1" applyBorder="1" applyAlignment="1">
      <alignment horizontal="center" vertical="center"/>
    </xf>
    <xf numFmtId="0" fontId="13" fillId="2" borderId="13" xfId="0" applyFont="1" applyFill="1" applyBorder="1" applyAlignment="1">
      <alignment horizontal="center" vertical="center"/>
    </xf>
    <xf numFmtId="0" fontId="7" fillId="3" borderId="11"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1" fillId="3" borderId="0" xfId="0" applyFont="1" applyFill="1"/>
    <xf numFmtId="0" fontId="1" fillId="3" borderId="7" xfId="0" applyFont="1" applyFill="1" applyBorder="1"/>
    <xf numFmtId="0" fontId="1" fillId="3" borderId="8" xfId="0" applyFont="1" applyFill="1" applyBorder="1"/>
    <xf numFmtId="0" fontId="1" fillId="3" borderId="8" xfId="0" applyFont="1" applyFill="1" applyBorder="1" applyAlignment="1">
      <alignment horizontal="center"/>
    </xf>
    <xf numFmtId="0" fontId="1" fillId="3" borderId="9" xfId="0" applyFont="1" applyFill="1" applyBorder="1"/>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0" xfId="0" applyFont="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1" fillId="0" borderId="8" xfId="0" applyFont="1" applyBorder="1" applyAlignment="1">
      <alignment horizontal="center"/>
    </xf>
    <xf numFmtId="0" fontId="16" fillId="0" borderId="2" xfId="0" applyFont="1" applyBorder="1" applyAlignment="1">
      <alignment horizontal="center" vertical="center"/>
    </xf>
    <xf numFmtId="0" fontId="1" fillId="2" borderId="0" xfId="0" applyFont="1" applyFill="1" applyAlignment="1">
      <alignment horizontal="left" vertical="center"/>
    </xf>
    <xf numFmtId="0" fontId="9" fillId="0" borderId="0" xfId="0" applyFont="1" applyAlignment="1">
      <alignment horizontal="left" vertical="center" wrapText="1"/>
    </xf>
    <xf numFmtId="0" fontId="16" fillId="0" borderId="0" xfId="0" applyFont="1" applyAlignment="1">
      <alignment horizontal="center" vertical="center"/>
    </xf>
    <xf numFmtId="0" fontId="1" fillId="2" borderId="16" xfId="0" applyFont="1" applyFill="1" applyBorder="1"/>
    <xf numFmtId="0" fontId="1" fillId="2" borderId="17" xfId="0" applyFont="1" applyFill="1" applyBorder="1"/>
    <xf numFmtId="0" fontId="1" fillId="0" borderId="17" xfId="0" applyFont="1" applyBorder="1"/>
    <xf numFmtId="0" fontId="1" fillId="0" borderId="16" xfId="0" applyFont="1" applyBorder="1"/>
    <xf numFmtId="0" fontId="1" fillId="0" borderId="18" xfId="0" applyFont="1" applyBorder="1"/>
    <xf numFmtId="0" fontId="2" fillId="2" borderId="19" xfId="0" applyFont="1" applyFill="1" applyBorder="1" applyAlignment="1">
      <alignment horizontal="center"/>
    </xf>
    <xf numFmtId="0" fontId="1" fillId="2" borderId="19" xfId="0" applyFont="1" applyFill="1" applyBorder="1"/>
    <xf numFmtId="0" fontId="1" fillId="2" borderId="20" xfId="0" applyFont="1" applyFill="1" applyBorder="1"/>
    <xf numFmtId="0" fontId="4" fillId="2" borderId="19" xfId="0" applyFont="1" applyFill="1" applyBorder="1" applyAlignment="1">
      <alignment horizontal="left" vertical="center" wrapText="1"/>
    </xf>
    <xf numFmtId="0" fontId="4" fillId="2" borderId="0" xfId="0" applyFont="1" applyFill="1" applyAlignment="1">
      <alignment horizontal="left" vertical="center" wrapText="1"/>
    </xf>
    <xf numFmtId="0" fontId="9" fillId="2" borderId="0" xfId="0" applyFont="1" applyFill="1" applyAlignment="1">
      <alignment horizontal="center"/>
    </xf>
    <xf numFmtId="0" fontId="9" fillId="2" borderId="0" xfId="0" applyFont="1" applyFill="1"/>
    <xf numFmtId="0" fontId="4" fillId="2" borderId="0" xfId="0" applyFont="1" applyFill="1" applyAlignment="1">
      <alignment vertical="center"/>
    </xf>
    <xf numFmtId="0" fontId="7" fillId="2" borderId="19" xfId="0" applyFont="1" applyFill="1" applyBorder="1" applyAlignment="1">
      <alignment textRotation="90"/>
    </xf>
    <xf numFmtId="0" fontId="7" fillId="2" borderId="0" xfId="0" applyFont="1" applyFill="1" applyAlignment="1">
      <alignment horizontal="left" textRotation="90"/>
    </xf>
    <xf numFmtId="0" fontId="4" fillId="2" borderId="19" xfId="0" applyFont="1" applyFill="1" applyBorder="1" applyAlignment="1">
      <alignment horizontal="left" vertical="center"/>
    </xf>
    <xf numFmtId="0" fontId="7" fillId="2" borderId="19" xfId="0" applyFont="1" applyFill="1" applyBorder="1" applyAlignment="1">
      <alignment horizontal="center" textRotation="90"/>
    </xf>
    <xf numFmtId="0" fontId="7" fillId="2" borderId="0" xfId="0" applyFont="1" applyFill="1"/>
    <xf numFmtId="0" fontId="7" fillId="2" borderId="0" xfId="0" applyFont="1" applyFill="1" applyAlignment="1">
      <alignment wrapText="1"/>
    </xf>
    <xf numFmtId="0" fontId="7" fillId="2" borderId="21" xfId="0" applyFont="1" applyFill="1" applyBorder="1" applyAlignment="1">
      <alignment horizontal="center" textRotation="90"/>
    </xf>
    <xf numFmtId="0" fontId="7" fillId="2" borderId="22" xfId="0" applyFont="1" applyFill="1" applyBorder="1" applyAlignment="1">
      <alignment horizontal="left" textRotation="90"/>
    </xf>
    <xf numFmtId="0" fontId="1" fillId="2" borderId="23" xfId="0" applyFont="1" applyFill="1" applyBorder="1"/>
    <xf numFmtId="0" fontId="7" fillId="2" borderId="16" xfId="0" applyFont="1" applyFill="1" applyBorder="1" applyAlignment="1">
      <alignment textRotation="90"/>
    </xf>
    <xf numFmtId="0" fontId="7" fillId="2" borderId="17" xfId="0" applyFont="1" applyFill="1" applyBorder="1" applyAlignment="1">
      <alignment horizontal="left" textRotation="90"/>
    </xf>
    <xf numFmtId="0" fontId="1" fillId="2" borderId="18" xfId="0" applyFont="1" applyFill="1" applyBorder="1"/>
    <xf numFmtId="0" fontId="9" fillId="2" borderId="16" xfId="0" applyFont="1" applyFill="1" applyBorder="1"/>
    <xf numFmtId="0" fontId="9" fillId="2" borderId="17" xfId="0" applyFont="1" applyFill="1" applyBorder="1"/>
    <xf numFmtId="0" fontId="9" fillId="2" borderId="19" xfId="0" applyFont="1" applyFill="1" applyBorder="1"/>
    <xf numFmtId="0" fontId="7" fillId="2" borderId="0" xfId="0" applyFont="1" applyFill="1" applyAlignment="1">
      <alignment textRotation="90"/>
    </xf>
    <xf numFmtId="0" fontId="16" fillId="2" borderId="19" xfId="0" applyFont="1" applyFill="1" applyBorder="1" applyAlignment="1">
      <alignment horizontal="left" vertical="center" wrapText="1"/>
    </xf>
    <xf numFmtId="0" fontId="16" fillId="2" borderId="0" xfId="0" applyFont="1" applyFill="1" applyAlignment="1">
      <alignment horizontal="left" vertical="center" wrapText="1"/>
    </xf>
    <xf numFmtId="0" fontId="16" fillId="2" borderId="21" xfId="0" applyFont="1" applyFill="1" applyBorder="1" applyAlignment="1">
      <alignment horizontal="left" vertical="center" wrapText="1"/>
    </xf>
    <xf numFmtId="0" fontId="16" fillId="2" borderId="22" xfId="0" applyFont="1" applyFill="1" applyBorder="1" applyAlignment="1">
      <alignment horizontal="left" vertical="center" wrapText="1"/>
    </xf>
    <xf numFmtId="0" fontId="9" fillId="2" borderId="21" xfId="0" applyFont="1" applyFill="1" applyBorder="1"/>
    <xf numFmtId="0" fontId="9" fillId="2" borderId="22" xfId="0" applyFont="1" applyFill="1" applyBorder="1"/>
    <xf numFmtId="0" fontId="1" fillId="2" borderId="22" xfId="0" applyFont="1" applyFill="1" applyBorder="1"/>
    <xf numFmtId="0" fontId="7" fillId="2" borderId="22" xfId="0" applyFont="1" applyFill="1" applyBorder="1" applyAlignment="1">
      <alignment textRotation="90"/>
    </xf>
    <xf numFmtId="0" fontId="1" fillId="3" borderId="0" xfId="0" applyFont="1" applyFill="1" applyAlignment="1">
      <alignment horizontal="left" vertical="top"/>
    </xf>
    <xf numFmtId="0" fontId="16" fillId="3" borderId="0" xfId="0" applyFont="1" applyFill="1"/>
    <xf numFmtId="0" fontId="17" fillId="3" borderId="0" xfId="0" applyFont="1" applyFill="1"/>
    <xf numFmtId="0" fontId="12" fillId="3" borderId="0" xfId="0" applyFont="1" applyFill="1"/>
    <xf numFmtId="0" fontId="12" fillId="3" borderId="12" xfId="0" applyFont="1" applyFill="1" applyBorder="1" applyAlignment="1">
      <alignment horizontal="center" vertical="center"/>
    </xf>
    <xf numFmtId="0" fontId="12" fillId="3" borderId="0" xfId="0" applyFont="1" applyFill="1" applyAlignment="1">
      <alignment horizontal="left"/>
    </xf>
    <xf numFmtId="0" fontId="12" fillId="3" borderId="12" xfId="0" applyFont="1" applyFill="1" applyBorder="1" applyAlignment="1">
      <alignment horizontal="center"/>
    </xf>
    <xf numFmtId="0" fontId="1" fillId="3" borderId="0" xfId="0" applyFont="1" applyFill="1" applyAlignment="1">
      <alignment vertical="top"/>
    </xf>
    <xf numFmtId="0" fontId="1" fillId="3" borderId="0" xfId="0" applyFont="1" applyFill="1" applyAlignment="1">
      <alignment horizontal="center" vertical="top"/>
    </xf>
    <xf numFmtId="0" fontId="18" fillId="3" borderId="12" xfId="0" applyFont="1" applyFill="1" applyBorder="1" applyAlignment="1">
      <alignment horizontal="center" vertical="top"/>
    </xf>
    <xf numFmtId="0" fontId="8" fillId="0" borderId="0" xfId="0" applyFont="1" applyAlignment="1">
      <alignment horizontal="left" vertical="top"/>
    </xf>
    <xf numFmtId="0" fontId="17" fillId="3" borderId="0" xfId="0" applyFont="1" applyFill="1" applyAlignment="1">
      <alignment horizontal="left" vertical="top"/>
    </xf>
    <xf numFmtId="0" fontId="1" fillId="3" borderId="12" xfId="0" applyFont="1" applyFill="1" applyBorder="1" applyAlignment="1">
      <alignment horizontal="center" vertical="top"/>
    </xf>
    <xf numFmtId="0" fontId="19" fillId="3" borderId="12" xfId="0" applyFont="1" applyFill="1" applyBorder="1" applyAlignment="1">
      <alignment horizontal="center" vertical="top"/>
    </xf>
    <xf numFmtId="0" fontId="1" fillId="3" borderId="4" xfId="0" applyFont="1" applyFill="1" applyBorder="1" applyAlignment="1">
      <alignment horizontal="center" vertical="top"/>
    </xf>
    <xf numFmtId="0" fontId="8" fillId="3" borderId="0" xfId="0" applyFont="1" applyFill="1" applyAlignment="1">
      <alignment horizontal="left" vertical="top"/>
    </xf>
    <xf numFmtId="0" fontId="1" fillId="3" borderId="12" xfId="0" applyFont="1" applyFill="1" applyBorder="1" applyAlignment="1">
      <alignment horizontal="left" vertical="top"/>
    </xf>
    <xf numFmtId="0" fontId="1" fillId="0" borderId="0" xfId="0" applyFont="1" applyAlignment="1">
      <alignment vertical="top"/>
    </xf>
    <xf numFmtId="0" fontId="1" fillId="0" borderId="0" xfId="0" applyFont="1" applyAlignment="1">
      <alignment horizontal="center" vertical="top"/>
    </xf>
    <xf numFmtId="0" fontId="1" fillId="0" borderId="12" xfId="0" applyFont="1" applyBorder="1" applyAlignment="1">
      <alignment horizontal="center" vertical="top"/>
    </xf>
    <xf numFmtId="0" fontId="1" fillId="0" borderId="0" xfId="0" applyFont="1" applyAlignment="1">
      <alignment horizontal="left" vertical="top"/>
    </xf>
    <xf numFmtId="0" fontId="17" fillId="0" borderId="0" xfId="0" applyFont="1" applyAlignment="1">
      <alignment horizontal="left" vertical="top"/>
    </xf>
    <xf numFmtId="0" fontId="1" fillId="0" borderId="12" xfId="0" applyFont="1" applyBorder="1" applyAlignment="1">
      <alignment horizontal="center" vertical="center"/>
    </xf>
    <xf numFmtId="0" fontId="1" fillId="0" borderId="2" xfId="0" applyFont="1" applyBorder="1" applyAlignment="1">
      <alignment horizontal="left" vertical="top"/>
    </xf>
    <xf numFmtId="0" fontId="1" fillId="0" borderId="0" xfId="0" applyFont="1" applyAlignment="1" applyProtection="1">
      <alignment horizontal="left" vertical="top"/>
      <protection locked="0"/>
    </xf>
    <xf numFmtId="0" fontId="19" fillId="0" borderId="24" xfId="0" applyFont="1" applyBorder="1" applyAlignment="1">
      <alignment horizontal="center" vertical="center" wrapText="1"/>
    </xf>
    <xf numFmtId="0" fontId="19" fillId="0" borderId="0" xfId="0" applyFont="1" applyAlignment="1" applyProtection="1">
      <alignment horizontal="center" vertical="center" wrapText="1"/>
      <protection locked="0"/>
    </xf>
    <xf numFmtId="0" fontId="1" fillId="4" borderId="0" xfId="0" applyFont="1" applyFill="1" applyAlignment="1">
      <alignment horizontal="left" vertical="top"/>
    </xf>
    <xf numFmtId="0" fontId="19" fillId="0" borderId="25" xfId="0" applyFont="1" applyBorder="1" applyAlignment="1">
      <alignment horizontal="center" vertical="center" wrapText="1"/>
    </xf>
    <xf numFmtId="0" fontId="8" fillId="0" borderId="0" xfId="0" applyFont="1" applyAlignment="1" applyProtection="1">
      <alignment horizontal="left" vertical="top"/>
      <protection locked="0"/>
    </xf>
    <xf numFmtId="0" fontId="19" fillId="0" borderId="26" xfId="0" applyFont="1" applyBorder="1" applyAlignment="1">
      <alignment horizontal="center" vertical="center" wrapText="1"/>
    </xf>
    <xf numFmtId="0" fontId="8" fillId="5" borderId="27" xfId="0" applyFont="1" applyFill="1" applyBorder="1" applyAlignment="1" applyProtection="1">
      <alignment horizontal="left" vertical="top"/>
      <protection locked="0"/>
    </xf>
    <xf numFmtId="0" fontId="8" fillId="5" borderId="15" xfId="0" applyFont="1" applyFill="1" applyBorder="1" applyAlignment="1" applyProtection="1">
      <alignment horizontal="left" vertical="top"/>
      <protection locked="0"/>
    </xf>
    <xf numFmtId="0" fontId="1" fillId="5" borderId="15" xfId="0" applyFont="1" applyFill="1" applyBorder="1" applyAlignment="1" applyProtection="1">
      <alignment horizontal="left" vertical="top"/>
      <protection locked="0"/>
    </xf>
    <xf numFmtId="0" fontId="1" fillId="5" borderId="28" xfId="0" applyFont="1" applyFill="1" applyBorder="1" applyAlignment="1" applyProtection="1">
      <alignment horizontal="left" vertical="top"/>
      <protection locked="0"/>
    </xf>
    <xf numFmtId="0" fontId="1" fillId="5" borderId="27" xfId="0" applyFont="1" applyFill="1" applyBorder="1" applyAlignment="1" applyProtection="1">
      <alignment horizontal="left" vertical="top"/>
      <protection locked="0"/>
    </xf>
    <xf numFmtId="0" fontId="1" fillId="6" borderId="0" xfId="0" applyFont="1" applyFill="1" applyAlignment="1">
      <alignment horizontal="left" vertical="top"/>
    </xf>
    <xf numFmtId="0" fontId="1" fillId="5" borderId="29" xfId="0" applyFont="1" applyFill="1" applyBorder="1" applyAlignment="1" applyProtection="1">
      <alignment horizontal="left" vertical="top"/>
      <protection locked="0"/>
    </xf>
    <xf numFmtId="0" fontId="1" fillId="5" borderId="30" xfId="0" applyFont="1" applyFill="1" applyBorder="1" applyAlignment="1" applyProtection="1">
      <alignment horizontal="left" vertical="top"/>
      <protection locked="0"/>
    </xf>
    <xf numFmtId="0" fontId="1" fillId="5" borderId="31" xfId="0" applyFont="1" applyFill="1" applyBorder="1" applyAlignment="1" applyProtection="1">
      <alignment horizontal="left" vertical="top"/>
      <protection locked="0"/>
    </xf>
    <xf numFmtId="0" fontId="20" fillId="0" borderId="0" xfId="0" applyFont="1" applyAlignment="1" applyProtection="1">
      <alignment horizontal="left" vertical="top"/>
      <protection locked="0"/>
    </xf>
    <xf numFmtId="0" fontId="1" fillId="7" borderId="0" xfId="0" applyFont="1" applyFill="1" applyAlignment="1">
      <alignment horizontal="left" vertical="top"/>
    </xf>
    <xf numFmtId="0" fontId="1" fillId="7" borderId="0" xfId="0" applyFont="1" applyFill="1" applyAlignment="1" applyProtection="1">
      <alignment horizontal="left" vertical="top"/>
      <protection locked="0"/>
    </xf>
    <xf numFmtId="0" fontId="1" fillId="0" borderId="16" xfId="0" applyFont="1" applyBorder="1" applyAlignment="1">
      <alignment horizontal="center" vertical="top"/>
    </xf>
    <xf numFmtId="0" fontId="1" fillId="0" borderId="17" xfId="0" applyFont="1" applyBorder="1" applyAlignment="1">
      <alignment horizontal="center" vertical="top"/>
    </xf>
    <xf numFmtId="0" fontId="1" fillId="0" borderId="18" xfId="0" applyFont="1" applyBorder="1" applyAlignment="1">
      <alignment horizontal="center" vertical="top"/>
    </xf>
    <xf numFmtId="0" fontId="21" fillId="0" borderId="0" xfId="0" applyFont="1" applyAlignment="1" applyProtection="1">
      <alignment horizontal="left" vertical="top"/>
      <protection locked="0"/>
    </xf>
    <xf numFmtId="0" fontId="1" fillId="0" borderId="32" xfId="0" applyFont="1" applyBorder="1" applyAlignment="1">
      <alignment horizontal="center" vertical="top"/>
    </xf>
    <xf numFmtId="0" fontId="8" fillId="5" borderId="33" xfId="0" applyFont="1" applyFill="1" applyBorder="1" applyAlignment="1" applyProtection="1">
      <alignment horizontal="center" vertical="top"/>
      <protection locked="0"/>
    </xf>
    <xf numFmtId="0" fontId="1" fillId="5" borderId="33" xfId="0" applyFont="1" applyFill="1" applyBorder="1" applyAlignment="1" applyProtection="1">
      <alignment horizontal="center" vertical="top"/>
      <protection locked="0"/>
    </xf>
    <xf numFmtId="0" fontId="1" fillId="0" borderId="34" xfId="0" applyFont="1" applyBorder="1" applyAlignment="1">
      <alignment horizontal="center" vertical="top"/>
    </xf>
    <xf numFmtId="0" fontId="21" fillId="0" borderId="0" xfId="0" applyFont="1" applyAlignment="1" applyProtection="1">
      <alignment horizontal="left" vertical="center" wrapText="1"/>
      <protection locked="0"/>
    </xf>
    <xf numFmtId="0" fontId="8" fillId="5" borderId="33" xfId="0" applyFont="1" applyFill="1" applyBorder="1" applyAlignment="1" applyProtection="1">
      <alignment horizontal="center" vertical="center"/>
      <protection locked="0"/>
    </xf>
    <xf numFmtId="0" fontId="22" fillId="0" borderId="0" xfId="0" applyFont="1" applyAlignment="1" applyProtection="1">
      <alignment horizontal="left" vertical="center" wrapText="1"/>
      <protection locked="0"/>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2.png"/><Relationship Id="rId5" Type="http://schemas.openxmlformats.org/officeDocument/2006/relationships/image" Target="../media/image4.png"/><Relationship Id="rId6" Type="http://schemas.openxmlformats.org/officeDocument/2006/relationships/image" Target="../media/image6.png"/><Relationship Id="rId7" Type="http://schemas.openxmlformats.org/officeDocument/2006/relationships/image" Target="../media/image8.emf"/><Relationship Id="rId8" Type="http://schemas.openxmlformats.org/officeDocument/2006/relationships/image" Target="../media/image7.png"/><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editAs="oneCell">
    <xdr:from>
      <xdr:col>35</xdr:col>
      <xdr:colOff>137160</xdr:colOff>
      <xdr:row>18</xdr:row>
      <xdr:rowOff>68580</xdr:rowOff>
    </xdr:from>
    <xdr:ext cx="182880" cy="16002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36</xdr:col>
      <xdr:colOff>60960</xdr:colOff>
      <xdr:row>18</xdr:row>
      <xdr:rowOff>68580</xdr:rowOff>
    </xdr:from>
    <xdr:ext cx="182880" cy="16002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35</xdr:col>
      <xdr:colOff>125436</xdr:colOff>
      <xdr:row>16</xdr:row>
      <xdr:rowOff>11430</xdr:rowOff>
    </xdr:from>
    <xdr:ext cx="182880" cy="16002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36</xdr:col>
      <xdr:colOff>66675</xdr:colOff>
      <xdr:row>21</xdr:row>
      <xdr:rowOff>9525</xdr:rowOff>
    </xdr:from>
    <xdr:ext cx="182880" cy="16002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36</xdr:col>
      <xdr:colOff>45720</xdr:colOff>
      <xdr:row>16</xdr:row>
      <xdr:rowOff>7620</xdr:rowOff>
    </xdr:from>
    <xdr:ext cx="182880" cy="16002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35</xdr:col>
      <xdr:colOff>152400</xdr:colOff>
      <xdr:row>21</xdr:row>
      <xdr:rowOff>19050</xdr:rowOff>
    </xdr:from>
    <xdr:ext cx="182880" cy="16002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33</xdr:col>
      <xdr:colOff>241055</xdr:colOff>
      <xdr:row>11</xdr:row>
      <xdr:rowOff>30920</xdr:rowOff>
    </xdr:from>
    <xdr:ext cx="129540" cy="1143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28</xdr:col>
      <xdr:colOff>16852</xdr:colOff>
      <xdr:row>11</xdr:row>
      <xdr:rowOff>21981</xdr:rowOff>
    </xdr:from>
    <xdr:ext cx="152400" cy="12192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27</xdr:col>
      <xdr:colOff>76200</xdr:colOff>
      <xdr:row>11</xdr:row>
      <xdr:rowOff>21981</xdr:rowOff>
    </xdr:from>
    <xdr:ext cx="129540" cy="11430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32</xdr:col>
      <xdr:colOff>387888</xdr:colOff>
      <xdr:row>11</xdr:row>
      <xdr:rowOff>25498</xdr:rowOff>
    </xdr:from>
    <xdr:ext cx="144780" cy="12192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22</xdr:col>
      <xdr:colOff>17145</xdr:colOff>
      <xdr:row>48</xdr:row>
      <xdr:rowOff>361950</xdr:rowOff>
    </xdr:from>
    <xdr:ext cx="4240530" cy="7223759"/>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twoCellAnchor editAs="oneCell">
    <xdr:from>
      <xdr:col>13</xdr:col>
      <xdr:colOff>99060</xdr:colOff>
      <xdr:row>1</xdr:row>
      <xdr:rowOff>38100</xdr:rowOff>
    </xdr:from>
    <xdr:to>
      <xdr:col>14</xdr:col>
      <xdr:colOff>396240</xdr:colOff>
      <xdr:row>3</xdr:row>
      <xdr:rowOff>167640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oneCellAnchor editAs="oneCell">
    <xdr:from>
      <xdr:col>2</xdr:col>
      <xdr:colOff>266700</xdr:colOff>
      <xdr:row>1</xdr:row>
      <xdr:rowOff>0</xdr:rowOff>
    </xdr:from>
    <xdr:ext cx="441960" cy="434340"/>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8</xdr:col>
      <xdr:colOff>114300</xdr:colOff>
      <xdr:row>0</xdr:row>
      <xdr:rowOff>152400</xdr:rowOff>
    </xdr:from>
    <xdr:ext cx="464820" cy="48768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85"/>
  <sheetViews>
    <sheetView workbookViewId="0" zoomScale="100" zoomScaleNormal="100">
      <selection activeCell="AO8" sqref="AO8"/>
    </sheetView>
  </sheetViews>
  <sheetFormatPr defaultRowHeight="12.75" outlineLevelRow="0" outlineLevelCol="0" x14ac:dyDescent="0.2" defaultColWidth="11.5" customHeight="1"/>
  <cols>
    <col min="1" max="1" width="1.83203125" style="1" customWidth="1"/>
    <col min="2" max="2" width="3.33203125" style="1" customWidth="1"/>
    <col min="3" max="3" width="6.83203125" style="1" customWidth="1"/>
    <col min="4" max="4" width="0.5" style="1" customWidth="1"/>
    <col min="5" max="5" width="1.83203125" style="1" customWidth="1"/>
    <col min="6" max="6" width="2.33203125" style="1" customWidth="1"/>
    <col min="7" max="7" width="7.83203125" style="1" customWidth="1"/>
    <col min="8" max="8" width="0.5" style="1" customWidth="1"/>
    <col min="9" max="9" width="1.6640625" style="1" customWidth="1"/>
    <col min="10" max="10" width="2.6640625" style="1" customWidth="1"/>
    <col min="11" max="11" width="4.5" style="1" customWidth="1"/>
    <col min="12" max="12" width="4.6640625" style="1" customWidth="1"/>
    <col min="13" max="13" width="0.5" style="1" customWidth="1"/>
    <col min="14" max="14" width="3.6640625" style="1" customWidth="1"/>
    <col min="15" max="15" width="9.33203125" style="1" customWidth="1"/>
    <col min="16" max="16" width="0.5" style="1" customWidth="1"/>
    <col min="17" max="17" width="1.83203125" style="1" customWidth="1"/>
    <col min="18" max="18" width="8.5" style="1" customWidth="1"/>
    <col min="19" max="19" width="0.5" style="1" customWidth="1"/>
    <col min="20" max="20" width="1.83203125" style="1" customWidth="1"/>
    <col min="21" max="21" width="10.83203125" style="1" customWidth="1"/>
    <col min="22" max="22" width="0.83203125" style="1" customWidth="1"/>
    <col min="23" max="23" width="6.1640625" style="1" customWidth="1"/>
    <col min="24" max="24" width="5.83203125" style="1" customWidth="1"/>
    <col min="25" max="25" width="7.1640625" style="1" customWidth="1"/>
    <col min="26" max="26" width="5.1640625" style="1" customWidth="1"/>
    <col min="27" max="27" width="6" style="1" customWidth="1"/>
    <col min="28" max="28" width="6.1640625" style="1" customWidth="1"/>
    <col min="29" max="29" width="5.33203125" style="1" customWidth="1"/>
    <col min="30" max="30" width="1" style="1" customWidth="1"/>
    <col min="31" max="31" width="5.83203125" style="1" customWidth="1"/>
    <col min="32" max="32" width="5.33203125" style="1" customWidth="1"/>
    <col min="33" max="35" width="5.83203125" style="1" customWidth="1"/>
    <col min="36" max="36" width="5.5" style="1" customWidth="1"/>
    <col min="37" max="37" width="5.83203125" style="1" customWidth="1"/>
    <col min="38" max="38" width="6.1640625" style="1" customWidth="1"/>
    <col min="39" max="16384" width="11.5" style="1" customWidth="1"/>
  </cols>
  <sheetData>
    <row r="1" ht="13.15" customHeight="1" spans="1:38" x14ac:dyDescent="0.25">
      <c r="A1" s="2" t="s">
        <v>0</v>
      </c>
      <c r="B1" s="3"/>
      <c r="C1" s="3"/>
      <c r="D1" s="3"/>
      <c r="E1" s="3"/>
      <c r="F1" s="3"/>
      <c r="G1" s="3"/>
      <c r="H1" s="3"/>
      <c r="I1" s="3"/>
      <c r="J1" s="3"/>
      <c r="K1" s="3"/>
      <c r="L1" s="3"/>
      <c r="M1" s="3"/>
      <c r="N1" s="3"/>
      <c r="O1" s="3"/>
      <c r="P1" s="3"/>
      <c r="Q1" s="3"/>
      <c r="R1" s="3"/>
      <c r="S1" s="4"/>
      <c r="T1" s="5" t="s">
        <v>1</v>
      </c>
      <c r="U1" s="6"/>
      <c r="V1" s="6"/>
      <c r="W1" s="6"/>
      <c r="X1" s="6"/>
      <c r="Y1" s="7"/>
      <c r="Z1" s="8"/>
      <c r="AA1" s="9" t="s">
        <v>2</v>
      </c>
      <c r="AB1" s="10"/>
      <c r="AC1" s="10"/>
      <c r="AD1" s="10"/>
      <c r="AE1" s="10"/>
      <c r="AF1" s="10"/>
      <c r="AG1" s="10"/>
      <c r="AH1" s="11"/>
      <c r="AI1" s="12"/>
      <c r="AJ1" s="13" t="s">
        <v>3</v>
      </c>
      <c r="AK1" s="13"/>
      <c r="AL1" s="14"/>
    </row>
    <row r="2" spans="1:38" x14ac:dyDescent="0.25">
      <c r="A2" s="15"/>
      <c r="B2" s="16"/>
      <c r="C2" s="16"/>
      <c r="D2" s="16"/>
      <c r="E2" s="16"/>
      <c r="F2" s="16"/>
      <c r="G2" s="16"/>
      <c r="H2" s="16"/>
      <c r="I2" s="16"/>
      <c r="J2" s="16"/>
      <c r="K2" s="16"/>
      <c r="L2" s="16"/>
      <c r="M2" s="16"/>
      <c r="N2" s="16"/>
      <c r="O2" s="16"/>
      <c r="P2" s="16"/>
      <c r="Q2" s="16"/>
      <c r="R2" s="16"/>
      <c r="S2" s="17"/>
      <c r="T2" s="18"/>
      <c r="U2" s="19"/>
      <c r="V2" s="19"/>
      <c r="W2" s="19"/>
      <c r="X2" s="19"/>
      <c r="Y2" s="20"/>
      <c r="Z2" s="21"/>
      <c r="AA2" s="22" t="s">
        <v>4</v>
      </c>
      <c r="AB2" s="23"/>
      <c r="AC2" s="23"/>
      <c r="AD2" s="23"/>
      <c r="AE2" s="23"/>
      <c r="AF2" s="23"/>
      <c r="AG2" s="23"/>
      <c r="AH2" s="24"/>
      <c r="AI2" s="25"/>
      <c r="AJ2" s="26" t="s">
        <v>5</v>
      </c>
      <c r="AK2" s="26" t="s">
        <v>6</v>
      </c>
      <c r="AL2" s="27"/>
    </row>
    <row r="3" ht="10.15" customHeight="1" spans="1:38" x14ac:dyDescent="0.25">
      <c r="A3" s="15"/>
      <c r="B3" s="16"/>
      <c r="C3" s="16"/>
      <c r="D3" s="16"/>
      <c r="E3" s="16"/>
      <c r="F3" s="16"/>
      <c r="G3" s="16"/>
      <c r="H3" s="16"/>
      <c r="I3" s="16"/>
      <c r="J3" s="16"/>
      <c r="K3" s="16"/>
      <c r="L3" s="16"/>
      <c r="M3" s="16"/>
      <c r="N3" s="16"/>
      <c r="O3" s="16"/>
      <c r="P3" s="16"/>
      <c r="Q3" s="16"/>
      <c r="R3" s="16"/>
      <c r="S3" s="17"/>
      <c r="T3" s="28"/>
      <c r="U3" s="25"/>
      <c r="V3" s="25"/>
      <c r="W3" s="25"/>
      <c r="X3" s="25"/>
      <c r="Y3" s="29"/>
      <c r="Z3" s="29"/>
      <c r="AA3" s="30" t="s">
        <v>7</v>
      </c>
      <c r="AB3" s="31"/>
      <c r="AC3" s="32" t="s">
        <v>8</v>
      </c>
      <c r="AD3" s="33"/>
      <c r="AE3" s="34"/>
      <c r="AF3" s="26" t="s">
        <v>9</v>
      </c>
      <c r="AG3" s="26"/>
      <c r="AH3" s="26"/>
      <c r="AI3" s="25"/>
      <c r="AJ3" s="35" t="str">
        <f>DATOS!C19</f>
        <v>GRV</v>
      </c>
      <c r="AK3" s="36">
        <f>DATOS!D19</f>
        <v>119</v>
      </c>
      <c r="AL3" s="16"/>
    </row>
    <row r="4" ht="13.15" customHeight="1" spans="1:38" x14ac:dyDescent="0.25">
      <c r="A4" s="37"/>
      <c r="B4" s="38"/>
      <c r="C4" s="38"/>
      <c r="D4" s="38"/>
      <c r="E4" s="38"/>
      <c r="F4" s="38"/>
      <c r="G4" s="38"/>
      <c r="H4" s="38"/>
      <c r="I4" s="38"/>
      <c r="J4" s="38"/>
      <c r="K4" s="38"/>
      <c r="L4" s="38"/>
      <c r="M4" s="38"/>
      <c r="N4" s="38"/>
      <c r="O4" s="38"/>
      <c r="P4" s="38"/>
      <c r="Q4" s="38"/>
      <c r="R4" s="38"/>
      <c r="S4" s="39"/>
      <c r="T4" s="40"/>
      <c r="U4" s="41"/>
      <c r="V4" s="41"/>
      <c r="W4" s="41"/>
      <c r="X4" s="41"/>
      <c r="Y4" s="42"/>
      <c r="Z4" s="43"/>
      <c r="AA4" s="44"/>
      <c r="AB4" s="45"/>
      <c r="AC4" s="46"/>
      <c r="AD4" s="47"/>
      <c r="AE4" s="48"/>
      <c r="AF4" s="49" t="s">
        <v>10</v>
      </c>
      <c r="AG4" s="49" t="s">
        <v>11</v>
      </c>
      <c r="AH4" s="49" t="s">
        <v>12</v>
      </c>
      <c r="AI4" s="25"/>
      <c r="AJ4" s="50"/>
      <c r="AK4" s="51"/>
      <c r="AL4" s="16"/>
    </row>
    <row r="5" ht="5.45" customHeight="1" spans="1:37" x14ac:dyDescent="0.25">
      <c r="A5" s="28"/>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52"/>
    </row>
    <row r="6" ht="10.15" customHeight="1" spans="1:38" x14ac:dyDescent="0.25">
      <c r="A6" s="53" t="s">
        <v>13</v>
      </c>
      <c r="B6" s="54"/>
      <c r="C6" s="54"/>
      <c r="D6" s="54"/>
      <c r="E6" s="54"/>
      <c r="F6" s="54"/>
      <c r="G6" s="54"/>
      <c r="H6" s="54"/>
      <c r="I6" s="54"/>
      <c r="J6" s="54"/>
      <c r="K6" s="54"/>
      <c r="L6" s="54"/>
      <c r="M6" s="54"/>
      <c r="N6" s="54"/>
      <c r="O6" s="54"/>
      <c r="P6" s="3"/>
      <c r="Q6" s="54"/>
      <c r="R6" s="54"/>
      <c r="S6" s="3"/>
      <c r="T6" s="54"/>
      <c r="U6" s="55"/>
      <c r="V6" s="25"/>
      <c r="W6" s="56" t="s">
        <v>14</v>
      </c>
      <c r="X6" s="56"/>
      <c r="Y6" s="56"/>
      <c r="Z6" s="57" t="s">
        <v>15</v>
      </c>
      <c r="AA6" s="58"/>
      <c r="AB6" s="58"/>
      <c r="AC6" s="59" t="s">
        <v>16</v>
      </c>
      <c r="AD6" s="59"/>
      <c r="AE6" s="59"/>
      <c r="AF6" s="59"/>
      <c r="AG6" s="59"/>
      <c r="AH6" s="59"/>
      <c r="AI6" s="59"/>
      <c r="AJ6" s="59"/>
      <c r="AK6" s="59"/>
      <c r="AL6" s="60"/>
    </row>
    <row r="7" ht="10.15" customHeight="1" spans="1:38" x14ac:dyDescent="0.25">
      <c r="A7" s="61">
        <v>1</v>
      </c>
      <c r="B7" s="61" t="s">
        <v>17</v>
      </c>
      <c r="C7" s="61"/>
      <c r="D7" s="62"/>
      <c r="E7" s="61">
        <v>2</v>
      </c>
      <c r="F7" s="61" t="s">
        <v>18</v>
      </c>
      <c r="G7" s="61"/>
      <c r="H7" s="62"/>
      <c r="I7" s="61">
        <v>3</v>
      </c>
      <c r="J7" s="61" t="s">
        <v>19</v>
      </c>
      <c r="K7" s="61"/>
      <c r="L7" s="61"/>
      <c r="M7" s="62"/>
      <c r="N7" s="61">
        <v>4</v>
      </c>
      <c r="O7" s="61" t="s">
        <v>20</v>
      </c>
      <c r="P7" s="63"/>
      <c r="Q7" s="61">
        <v>5</v>
      </c>
      <c r="R7" s="61" t="s">
        <v>21</v>
      </c>
      <c r="S7" s="63"/>
      <c r="T7" s="61">
        <v>6</v>
      </c>
      <c r="U7" s="61" t="s">
        <v>22</v>
      </c>
      <c r="V7" s="25"/>
      <c r="W7" s="59" t="str">
        <f>DATOS!B22</f>
        <v>RENAULT</v>
      </c>
      <c r="X7" s="59"/>
      <c r="Y7" s="59"/>
      <c r="Z7" s="64" t="str">
        <f>DATOS!B23</f>
        <v>SANDERO</v>
      </c>
      <c r="AA7" s="65"/>
      <c r="AB7" s="66"/>
      <c r="AC7" s="67" t="s">
        <v>23</v>
      </c>
      <c r="AD7" s="68"/>
      <c r="AE7" s="69" t="s">
        <v>24</v>
      </c>
      <c r="AF7" s="69" t="s">
        <v>25</v>
      </c>
      <c r="AG7" s="69" t="s">
        <v>26</v>
      </c>
      <c r="AH7" s="69" t="s">
        <v>27</v>
      </c>
      <c r="AI7" s="69" t="s">
        <v>28</v>
      </c>
      <c r="AJ7" s="69" t="s">
        <v>29</v>
      </c>
      <c r="AK7" s="69" t="s">
        <v>30</v>
      </c>
      <c r="AL7" s="70"/>
    </row>
    <row r="8" ht="15.6" customHeight="1" spans="1:41" x14ac:dyDescent="0.25">
      <c r="A8" s="61"/>
      <c r="B8" s="61"/>
      <c r="C8" s="61"/>
      <c r="D8" s="71"/>
      <c r="E8" s="61"/>
      <c r="F8" s="61"/>
      <c r="G8" s="61"/>
      <c r="H8" s="71"/>
      <c r="I8" s="61"/>
      <c r="J8" s="61"/>
      <c r="K8" s="61"/>
      <c r="L8" s="61"/>
      <c r="M8" s="71"/>
      <c r="N8" s="61"/>
      <c r="O8" s="61"/>
      <c r="P8" s="63"/>
      <c r="Q8" s="61"/>
      <c r="R8" s="61"/>
      <c r="S8" s="63"/>
      <c r="T8" s="61"/>
      <c r="U8" s="61"/>
      <c r="V8" s="25"/>
      <c r="W8" s="59"/>
      <c r="X8" s="59"/>
      <c r="Y8" s="59"/>
      <c r="Z8" s="72"/>
      <c r="AA8" s="73"/>
      <c r="AB8" s="74"/>
      <c r="AC8" s="75">
        <v>1</v>
      </c>
      <c r="AD8" s="75"/>
      <c r="AE8" s="75">
        <v>2</v>
      </c>
      <c r="AF8" s="75">
        <v>3</v>
      </c>
      <c r="AG8" s="75">
        <v>4</v>
      </c>
      <c r="AH8" s="75">
        <v>5</v>
      </c>
      <c r="AI8" s="75">
        <v>6</v>
      </c>
      <c r="AJ8" s="75">
        <v>7</v>
      </c>
      <c r="AK8" s="75">
        <v>8</v>
      </c>
      <c r="AL8" s="76"/>
      <c r="AO8" s="77"/>
    </row>
    <row r="9" ht="12" customHeight="1" spans="1:38" x14ac:dyDescent="0.25">
      <c r="A9" s="78">
        <v>7</v>
      </c>
      <c r="B9" s="79" t="s">
        <v>31</v>
      </c>
      <c r="C9" s="80"/>
      <c r="D9" s="71"/>
      <c r="E9" s="78">
        <v>8</v>
      </c>
      <c r="F9" s="79" t="s">
        <v>32</v>
      </c>
      <c r="G9" s="80"/>
      <c r="H9" s="71"/>
      <c r="I9" s="78">
        <v>9</v>
      </c>
      <c r="J9" s="79" t="s">
        <v>33</v>
      </c>
      <c r="K9" s="81"/>
      <c r="L9" s="80"/>
      <c r="M9" s="71"/>
      <c r="N9" s="78">
        <v>10</v>
      </c>
      <c r="O9" s="61" t="s">
        <v>34</v>
      </c>
      <c r="P9" s="63"/>
      <c r="Q9" s="61">
        <v>11</v>
      </c>
      <c r="R9" s="61" t="s">
        <v>35</v>
      </c>
      <c r="S9" s="63"/>
      <c r="T9" s="61">
        <v>12</v>
      </c>
      <c r="U9" s="61" t="s">
        <v>36</v>
      </c>
      <c r="V9" s="25"/>
      <c r="W9" s="57" t="s">
        <v>37</v>
      </c>
      <c r="X9" s="58"/>
      <c r="Y9" s="58"/>
      <c r="Z9" s="58"/>
      <c r="AA9" s="58"/>
      <c r="AB9" s="58"/>
      <c r="AC9" s="58"/>
      <c r="AD9" s="58"/>
      <c r="AE9" s="58"/>
      <c r="AF9" s="58"/>
      <c r="AG9" s="59" t="s">
        <v>38</v>
      </c>
      <c r="AH9" s="59"/>
      <c r="AI9" s="82" t="s">
        <v>39</v>
      </c>
      <c r="AJ9" s="83"/>
      <c r="AK9" s="84"/>
      <c r="AL9" s="85"/>
    </row>
    <row r="10" ht="7.9" customHeight="1" spans="1:38" x14ac:dyDescent="0.25">
      <c r="A10" s="86"/>
      <c r="B10" s="87"/>
      <c r="C10" s="88"/>
      <c r="D10" s="71"/>
      <c r="E10" s="86"/>
      <c r="F10" s="87"/>
      <c r="G10" s="88"/>
      <c r="H10" s="71"/>
      <c r="I10" s="86"/>
      <c r="J10" s="87"/>
      <c r="K10" s="89"/>
      <c r="L10" s="88"/>
      <c r="M10" s="71"/>
      <c r="N10" s="86"/>
      <c r="O10" s="61"/>
      <c r="P10" s="63"/>
      <c r="Q10" s="61"/>
      <c r="R10" s="61"/>
      <c r="S10" s="63"/>
      <c r="T10" s="61"/>
      <c r="U10" s="61"/>
      <c r="V10" s="25"/>
      <c r="W10" s="90" t="str">
        <f>DATOS!B24</f>
        <v>ROJO FUEGO</v>
      </c>
      <c r="X10" s="91"/>
      <c r="Y10" s="91"/>
      <c r="Z10" s="91"/>
      <c r="AA10" s="91"/>
      <c r="AB10" s="91"/>
      <c r="AC10" s="91"/>
      <c r="AD10" s="91"/>
      <c r="AE10" s="91"/>
      <c r="AF10" s="92"/>
      <c r="AG10" s="93">
        <f>DATOS!B20</f>
        <v>2020</v>
      </c>
      <c r="AH10" s="93"/>
      <c r="AI10" s="93">
        <f>DATOS!B34</f>
        <v>1598</v>
      </c>
      <c r="AJ10" s="93"/>
      <c r="AK10" s="93"/>
      <c r="AL10" s="94"/>
    </row>
    <row r="11" ht="7.9" customHeight="1" spans="1:38" x14ac:dyDescent="0.25">
      <c r="A11" s="95"/>
      <c r="B11" s="96"/>
      <c r="C11" s="97"/>
      <c r="D11" s="71"/>
      <c r="E11" s="95"/>
      <c r="F11" s="96"/>
      <c r="G11" s="97"/>
      <c r="H11" s="71"/>
      <c r="I11" s="95"/>
      <c r="J11" s="96"/>
      <c r="K11" s="98"/>
      <c r="L11" s="97"/>
      <c r="M11" s="71"/>
      <c r="N11" s="95"/>
      <c r="O11" s="61"/>
      <c r="P11" s="63"/>
      <c r="Q11" s="61"/>
      <c r="R11" s="61"/>
      <c r="S11" s="63"/>
      <c r="T11" s="61"/>
      <c r="U11" s="61"/>
      <c r="V11" s="25"/>
      <c r="W11" s="99"/>
      <c r="X11" s="100"/>
      <c r="Y11" s="100"/>
      <c r="Z11" s="100"/>
      <c r="AA11" s="100"/>
      <c r="AB11" s="100"/>
      <c r="AC11" s="100"/>
      <c r="AD11" s="100"/>
      <c r="AE11" s="100"/>
      <c r="AF11" s="101"/>
      <c r="AG11" s="93"/>
      <c r="AH11" s="93"/>
      <c r="AI11" s="93"/>
      <c r="AJ11" s="93"/>
      <c r="AK11" s="93"/>
      <c r="AL11" s="94"/>
    </row>
    <row r="12" ht="12" customHeight="1" spans="1:38" x14ac:dyDescent="0.25">
      <c r="A12" s="78">
        <v>13</v>
      </c>
      <c r="B12" s="79" t="s">
        <v>40</v>
      </c>
      <c r="C12" s="80"/>
      <c r="D12" s="71"/>
      <c r="E12" s="78">
        <v>14</v>
      </c>
      <c r="F12" s="79" t="s">
        <v>41</v>
      </c>
      <c r="G12" s="80"/>
      <c r="H12" s="71"/>
      <c r="I12" s="78">
        <v>15</v>
      </c>
      <c r="J12" s="79" t="s">
        <v>42</v>
      </c>
      <c r="K12" s="81"/>
      <c r="L12" s="80"/>
      <c r="M12" s="71"/>
      <c r="N12" s="78">
        <v>16</v>
      </c>
      <c r="O12" s="61" t="s">
        <v>43</v>
      </c>
      <c r="P12" s="102"/>
      <c r="Q12" s="78">
        <v>17</v>
      </c>
      <c r="R12" s="61" t="s">
        <v>44</v>
      </c>
      <c r="S12" s="102"/>
      <c r="T12" s="78">
        <v>18</v>
      </c>
      <c r="U12" s="103" t="s">
        <v>45</v>
      </c>
      <c r="V12" s="25"/>
      <c r="W12" s="104" t="s">
        <v>46</v>
      </c>
      <c r="X12" s="105"/>
      <c r="Y12" s="106"/>
      <c r="Z12" s="53" t="s">
        <v>47</v>
      </c>
      <c r="AA12" s="54"/>
      <c r="AB12" s="54"/>
      <c r="AC12" s="54"/>
      <c r="AD12" s="55"/>
      <c r="AE12" s="107" t="s">
        <v>48</v>
      </c>
      <c r="AF12" s="108"/>
      <c r="AG12" s="108"/>
      <c r="AH12" s="109"/>
      <c r="AI12" s="110" t="s">
        <v>49</v>
      </c>
      <c r="AJ12" s="110"/>
      <c r="AK12" s="110"/>
      <c r="AL12" s="111"/>
    </row>
    <row r="13" ht="19.15" customHeight="1" spans="1:38" x14ac:dyDescent="0.25">
      <c r="A13" s="95"/>
      <c r="B13" s="96"/>
      <c r="C13" s="97"/>
      <c r="D13" s="71"/>
      <c r="E13" s="95"/>
      <c r="F13" s="96"/>
      <c r="G13" s="97"/>
      <c r="H13" s="71"/>
      <c r="I13" s="95"/>
      <c r="J13" s="96"/>
      <c r="K13" s="98"/>
      <c r="L13" s="97"/>
      <c r="M13" s="71"/>
      <c r="N13" s="95"/>
      <c r="O13" s="61"/>
      <c r="P13" s="112"/>
      <c r="Q13" s="95"/>
      <c r="R13" s="61"/>
      <c r="S13" s="112"/>
      <c r="T13" s="95"/>
      <c r="U13" s="113"/>
      <c r="V13" s="25"/>
      <c r="W13" s="93" t="str">
        <f>DATOS!B32</f>
        <v>5PSJ</v>
      </c>
      <c r="X13" s="93"/>
      <c r="Y13" s="93"/>
      <c r="Z13" s="114" t="s">
        <v>50</v>
      </c>
      <c r="AA13" s="115"/>
      <c r="AB13" s="115"/>
      <c r="AC13" s="115"/>
      <c r="AD13" s="116"/>
      <c r="AE13" s="114" t="s">
        <v>50</v>
      </c>
      <c r="AF13" s="115"/>
      <c r="AG13" s="115"/>
      <c r="AH13" s="116"/>
      <c r="AI13" s="93">
        <f>DATOS!B33</f>
        <v>85</v>
      </c>
      <c r="AJ13" s="93"/>
      <c r="AK13" s="93"/>
      <c r="AL13" s="94"/>
    </row>
    <row r="14" ht="4.15" customHeight="1" spans="1:38" x14ac:dyDescent="0.25">
      <c r="A14" s="117"/>
      <c r="B14" s="118"/>
      <c r="C14" s="118"/>
      <c r="D14" s="118"/>
      <c r="E14" s="118"/>
      <c r="F14" s="118"/>
      <c r="G14" s="118"/>
      <c r="H14" s="118"/>
      <c r="I14" s="118"/>
      <c r="J14" s="118"/>
      <c r="K14" s="118"/>
      <c r="L14" s="118"/>
      <c r="M14" s="118"/>
      <c r="N14" s="118"/>
      <c r="O14" s="118"/>
      <c r="P14" s="118"/>
      <c r="Q14" s="118"/>
      <c r="R14" s="118"/>
      <c r="S14" s="118"/>
      <c r="T14" s="118"/>
      <c r="U14" s="118"/>
      <c r="V14" s="25"/>
      <c r="W14" s="25"/>
      <c r="X14" s="25"/>
      <c r="Y14" s="25"/>
      <c r="Z14" s="25"/>
      <c r="AA14" s="25"/>
      <c r="AB14" s="25"/>
      <c r="AC14" s="25"/>
      <c r="AD14" s="25"/>
      <c r="AE14" s="25"/>
      <c r="AF14" s="25"/>
      <c r="AG14" s="25"/>
      <c r="AH14" s="25"/>
      <c r="AI14" s="25"/>
      <c r="AJ14" s="25"/>
      <c r="AK14" s="43"/>
      <c r="AL14" s="25"/>
    </row>
    <row r="15" ht="12" customHeight="1" spans="1:38" x14ac:dyDescent="0.25">
      <c r="A15" s="119" t="s">
        <v>51</v>
      </c>
      <c r="B15" s="119"/>
      <c r="C15" s="119"/>
      <c r="D15" s="119"/>
      <c r="E15" s="119"/>
      <c r="F15" s="119"/>
      <c r="G15" s="119"/>
      <c r="H15" s="119"/>
      <c r="I15" s="119"/>
      <c r="J15" s="119"/>
      <c r="K15" s="119"/>
      <c r="L15" s="119"/>
      <c r="M15" s="119"/>
      <c r="N15" s="119"/>
      <c r="O15" s="119"/>
      <c r="P15" s="119"/>
      <c r="Q15" s="119"/>
      <c r="R15" s="119"/>
      <c r="S15" s="119"/>
      <c r="T15" s="119"/>
      <c r="U15" s="119"/>
      <c r="V15" s="25"/>
      <c r="W15" s="110" t="s">
        <v>52</v>
      </c>
      <c r="X15" s="110"/>
      <c r="Y15" s="110"/>
      <c r="Z15" s="110"/>
      <c r="AA15" s="110"/>
      <c r="AB15" s="110"/>
      <c r="AC15" s="110"/>
      <c r="AD15" s="120"/>
      <c r="AE15" s="121" t="s">
        <v>53</v>
      </c>
      <c r="AF15" s="122"/>
      <c r="AG15" s="122"/>
      <c r="AH15" s="122"/>
      <c r="AI15" s="122"/>
      <c r="AJ15" s="105"/>
      <c r="AK15" s="106"/>
      <c r="AL15" s="14"/>
    </row>
    <row r="16" ht="12" customHeight="1" spans="1:38" x14ac:dyDescent="0.25">
      <c r="A16" s="123" t="s">
        <v>54</v>
      </c>
      <c r="B16" s="123"/>
      <c r="C16" s="123"/>
      <c r="D16" s="123" t="s">
        <v>55</v>
      </c>
      <c r="E16" s="123"/>
      <c r="F16" s="123"/>
      <c r="G16" s="123"/>
      <c r="H16" s="123" t="s">
        <v>56</v>
      </c>
      <c r="I16" s="123"/>
      <c r="J16" s="123"/>
      <c r="K16" s="123"/>
      <c r="L16" s="123" t="s">
        <v>57</v>
      </c>
      <c r="M16" s="123"/>
      <c r="N16" s="123"/>
      <c r="O16" s="123" t="s">
        <v>58</v>
      </c>
      <c r="P16" s="123" t="s">
        <v>59</v>
      </c>
      <c r="Q16" s="123"/>
      <c r="R16" s="123"/>
      <c r="S16" s="123" t="s">
        <v>60</v>
      </c>
      <c r="T16" s="123"/>
      <c r="U16" s="123"/>
      <c r="V16" s="25"/>
      <c r="W16" s="124" t="s">
        <v>8</v>
      </c>
      <c r="X16" s="124"/>
      <c r="Y16" s="124"/>
      <c r="Z16" s="124"/>
      <c r="AA16" s="124"/>
      <c r="AB16" s="124"/>
      <c r="AC16" s="124"/>
      <c r="AD16" s="25"/>
      <c r="AE16" s="125" t="s">
        <v>61</v>
      </c>
      <c r="AF16" s="126"/>
      <c r="AG16" s="126"/>
      <c r="AH16" s="126"/>
      <c r="AI16" s="127"/>
      <c r="AJ16" s="128" t="s">
        <v>62</v>
      </c>
      <c r="AK16" s="129"/>
      <c r="AL16" s="130"/>
    </row>
    <row r="17" ht="18" customHeight="1" spans="1:38" x14ac:dyDescent="0.25">
      <c r="A17" s="131" t="str">
        <f>DATOS!E20</f>
        <v>X</v>
      </c>
      <c r="B17" s="132"/>
      <c r="C17" s="132"/>
      <c r="D17" s="131">
        <f>DATOS!F20</f>
        <v>0</v>
      </c>
      <c r="E17" s="132"/>
      <c r="F17" s="132"/>
      <c r="G17" s="133"/>
      <c r="H17" s="131">
        <f>DATOS!G20</f>
        <v>0</v>
      </c>
      <c r="I17" s="132"/>
      <c r="J17" s="132"/>
      <c r="K17" s="133"/>
      <c r="L17" s="131">
        <f>DATOS!H20</f>
        <v>0</v>
      </c>
      <c r="M17" s="132"/>
      <c r="N17" s="132"/>
      <c r="O17" s="134">
        <f>DATOS!I20</f>
        <v>0</v>
      </c>
      <c r="P17" s="134">
        <f>DATOS!J20</f>
        <v>0</v>
      </c>
      <c r="Q17" s="134"/>
      <c r="R17" s="134"/>
      <c r="S17" s="134">
        <f>DATOS!K20</f>
        <v>0</v>
      </c>
      <c r="T17" s="134"/>
      <c r="U17" s="134"/>
      <c r="V17" s="25"/>
      <c r="W17" s="75"/>
      <c r="X17" s="75"/>
      <c r="Y17" s="75"/>
      <c r="Z17" s="75"/>
      <c r="AA17" s="75"/>
      <c r="AB17" s="75"/>
      <c r="AC17" s="75"/>
      <c r="AD17" s="25"/>
      <c r="AE17" s="135" t="str">
        <f>DATOS!B27</f>
        <v>A812UF91875</v>
      </c>
      <c r="AF17" s="136"/>
      <c r="AG17" s="136"/>
      <c r="AH17" s="136"/>
      <c r="AI17" s="137"/>
      <c r="AJ17" s="114" t="s">
        <v>63</v>
      </c>
      <c r="AK17" s="138"/>
      <c r="AL17" s="139"/>
    </row>
    <row r="18" ht="12" customHeight="1" spans="1:38" x14ac:dyDescent="0.25">
      <c r="A18" s="61" t="s">
        <v>64</v>
      </c>
      <c r="B18" s="61"/>
      <c r="C18" s="61"/>
      <c r="D18" s="61" t="s">
        <v>65</v>
      </c>
      <c r="E18" s="61"/>
      <c r="F18" s="61"/>
      <c r="G18" s="61"/>
      <c r="H18" s="61" t="s">
        <v>66</v>
      </c>
      <c r="I18" s="61"/>
      <c r="J18" s="61"/>
      <c r="K18" s="61"/>
      <c r="L18" s="123" t="s">
        <v>67</v>
      </c>
      <c r="M18" s="123"/>
      <c r="N18" s="123"/>
      <c r="O18" s="123" t="s">
        <v>68</v>
      </c>
      <c r="P18" s="123" t="s">
        <v>69</v>
      </c>
      <c r="Q18" s="123"/>
      <c r="R18" s="123"/>
      <c r="S18" s="123" t="s">
        <v>70</v>
      </c>
      <c r="T18" s="123"/>
      <c r="U18" s="123"/>
      <c r="V18" s="25"/>
      <c r="W18" s="140" t="s">
        <v>71</v>
      </c>
      <c r="X18" s="141"/>
      <c r="Y18" s="141"/>
      <c r="Z18" s="141"/>
      <c r="AA18" s="141"/>
      <c r="AB18" s="141"/>
      <c r="AC18" s="142"/>
      <c r="AD18" s="25"/>
      <c r="AE18" s="140" t="s">
        <v>72</v>
      </c>
      <c r="AF18" s="141"/>
      <c r="AG18" s="141"/>
      <c r="AH18" s="141"/>
      <c r="AI18" s="142"/>
      <c r="AJ18" s="128" t="s">
        <v>62</v>
      </c>
      <c r="AK18" s="129"/>
      <c r="AL18" s="130"/>
    </row>
    <row r="19" ht="15.6" customHeight="1" spans="1:38" x14ac:dyDescent="0.25">
      <c r="A19" s="134">
        <f>DATOS!E22</f>
        <v>0</v>
      </c>
      <c r="B19" s="134"/>
      <c r="C19" s="134"/>
      <c r="D19" s="143">
        <f>DATOS!F22</f>
        <v>0</v>
      </c>
      <c r="E19" s="144"/>
      <c r="F19" s="144"/>
      <c r="G19" s="145"/>
      <c r="H19" s="134">
        <f>DATOS!G22</f>
        <v>0</v>
      </c>
      <c r="I19" s="134"/>
      <c r="J19" s="134"/>
      <c r="K19" s="134"/>
      <c r="L19" s="134">
        <f>DATOS!H22</f>
        <v>0</v>
      </c>
      <c r="M19" s="134"/>
      <c r="N19" s="134"/>
      <c r="O19" s="134">
        <f>DATOS!I22</f>
        <v>0</v>
      </c>
      <c r="P19" s="134">
        <f>DATOS!J22</f>
        <v>0</v>
      </c>
      <c r="Q19" s="134"/>
      <c r="R19" s="134"/>
      <c r="S19" s="134">
        <f>DATOS!K22</f>
        <v>0</v>
      </c>
      <c r="T19" s="134"/>
      <c r="U19" s="134"/>
      <c r="V19" s="25"/>
      <c r="W19" s="146"/>
      <c r="X19" s="147"/>
      <c r="Y19" s="147"/>
      <c r="Z19" s="147"/>
      <c r="AA19" s="147"/>
      <c r="AB19" s="147"/>
      <c r="AC19" s="148"/>
      <c r="AD19" s="25"/>
      <c r="AE19" s="149" t="str">
        <f>DATOS!B29</f>
        <v>9FB5SREB4LM325716</v>
      </c>
      <c r="AF19" s="150"/>
      <c r="AG19" s="150"/>
      <c r="AH19" s="150"/>
      <c r="AI19" s="151"/>
      <c r="AJ19" s="152" t="s">
        <v>73</v>
      </c>
      <c r="AK19" s="153"/>
      <c r="AL19" s="154"/>
    </row>
    <row r="20" ht="12.6" customHeight="1" spans="1:38" x14ac:dyDescent="0.25">
      <c r="A20" s="155"/>
      <c r="B20" s="156"/>
      <c r="C20" s="156"/>
      <c r="D20" s="156"/>
      <c r="E20" s="156"/>
      <c r="F20" s="156"/>
      <c r="G20" s="156"/>
      <c r="H20" s="157"/>
      <c r="I20" s="157"/>
      <c r="J20" s="157"/>
      <c r="K20" s="157"/>
      <c r="L20" s="158"/>
      <c r="M20" s="158"/>
      <c r="N20" s="158"/>
      <c r="O20" s="158"/>
      <c r="P20" s="158"/>
      <c r="Q20" s="158"/>
      <c r="R20" s="158"/>
      <c r="S20" s="158"/>
      <c r="T20" s="158"/>
      <c r="U20" s="158"/>
      <c r="V20" s="25"/>
      <c r="W20" s="159"/>
      <c r="X20" s="160"/>
      <c r="Y20" s="160"/>
      <c r="Z20" s="160"/>
      <c r="AA20" s="160"/>
      <c r="AB20" s="160"/>
      <c r="AC20" s="161"/>
      <c r="AD20" s="25"/>
      <c r="AE20" s="162"/>
      <c r="AF20" s="163"/>
      <c r="AG20" s="163"/>
      <c r="AH20" s="163"/>
      <c r="AI20" s="164"/>
      <c r="AJ20" s="165"/>
      <c r="AK20" s="166"/>
      <c r="AL20" s="154"/>
    </row>
    <row r="21" ht="10.15" customHeight="1" spans="1:38" x14ac:dyDescent="0.25">
      <c r="A21" s="167" t="s">
        <v>74</v>
      </c>
      <c r="B21" s="6"/>
      <c r="C21" s="6"/>
      <c r="D21" s="6"/>
      <c r="E21" s="6"/>
      <c r="F21" s="6"/>
      <c r="G21" s="6"/>
      <c r="H21" s="6"/>
      <c r="I21" s="6"/>
      <c r="J21" s="6"/>
      <c r="K21" s="6"/>
      <c r="L21" s="6"/>
      <c r="M21" s="6"/>
      <c r="N21" s="6"/>
      <c r="O21" s="6"/>
      <c r="P21" s="6"/>
      <c r="Q21" s="6"/>
      <c r="R21" s="6"/>
      <c r="S21" s="6"/>
      <c r="T21" s="6"/>
      <c r="U21" s="7"/>
      <c r="V21" s="25"/>
      <c r="W21" s="168"/>
      <c r="X21" s="168"/>
      <c r="Y21" s="168"/>
      <c r="Z21" s="168"/>
      <c r="AA21" s="168"/>
      <c r="AB21" s="168"/>
      <c r="AC21" s="25"/>
      <c r="AD21" s="25"/>
      <c r="AE21" s="125" t="s">
        <v>75</v>
      </c>
      <c r="AF21" s="126"/>
      <c r="AG21" s="126"/>
      <c r="AH21" s="126"/>
      <c r="AI21" s="126"/>
      <c r="AJ21" s="128" t="s">
        <v>62</v>
      </c>
      <c r="AK21" s="129"/>
      <c r="AL21" s="130"/>
    </row>
    <row r="22" ht="15.6" customHeight="1" spans="1:38" x14ac:dyDescent="0.25">
      <c r="A22" s="169"/>
      <c r="B22" s="170"/>
      <c r="C22" s="170"/>
      <c r="D22" s="170"/>
      <c r="E22" s="170"/>
      <c r="F22" s="170"/>
      <c r="G22" s="170"/>
      <c r="H22" s="170"/>
      <c r="I22" s="170"/>
      <c r="J22" s="170"/>
      <c r="K22" s="170"/>
      <c r="L22" s="170"/>
      <c r="M22" s="170"/>
      <c r="N22" s="170"/>
      <c r="O22" s="170"/>
      <c r="P22" s="170"/>
      <c r="Q22" s="170"/>
      <c r="R22" s="170"/>
      <c r="S22" s="170"/>
      <c r="T22" s="170"/>
      <c r="U22" s="171"/>
      <c r="V22" s="25"/>
      <c r="W22" s="82" t="s">
        <v>76</v>
      </c>
      <c r="X22" s="83"/>
      <c r="Y22" s="83"/>
      <c r="Z22" s="83"/>
      <c r="AA22" s="83"/>
      <c r="AB22" s="83"/>
      <c r="AC22" s="84"/>
      <c r="AD22" s="25"/>
      <c r="AE22" s="172" t="str">
        <f>DATOS!B28</f>
        <v>9FB5SREB4LM325716</v>
      </c>
      <c r="AF22" s="173"/>
      <c r="AG22" s="173"/>
      <c r="AH22" s="173"/>
      <c r="AI22" s="174"/>
      <c r="AJ22" s="175" t="s">
        <v>77</v>
      </c>
      <c r="AK22" s="176"/>
      <c r="AL22" s="154"/>
    </row>
    <row r="23" ht="10.15" customHeight="1" spans="1:38" x14ac:dyDescent="0.25">
      <c r="A23" s="177" t="s">
        <v>78</v>
      </c>
      <c r="B23" s="178"/>
      <c r="C23" s="178"/>
      <c r="D23" s="178"/>
      <c r="E23" s="178"/>
      <c r="F23" s="178"/>
      <c r="G23" s="178"/>
      <c r="H23" s="179"/>
      <c r="I23" s="177" t="s">
        <v>79</v>
      </c>
      <c r="J23" s="178"/>
      <c r="K23" s="178"/>
      <c r="L23" s="178"/>
      <c r="M23" s="178"/>
      <c r="N23" s="178"/>
      <c r="O23" s="179"/>
      <c r="P23" s="177" t="s">
        <v>80</v>
      </c>
      <c r="Q23" s="178"/>
      <c r="R23" s="178"/>
      <c r="S23" s="178"/>
      <c r="T23" s="178"/>
      <c r="U23" s="179"/>
      <c r="V23" s="25"/>
      <c r="W23" s="180" t="s">
        <v>81</v>
      </c>
      <c r="X23" s="180"/>
      <c r="Y23" s="181" t="s">
        <v>82</v>
      </c>
      <c r="Z23" s="182"/>
      <c r="AA23" s="182"/>
      <c r="AB23" s="182"/>
      <c r="AC23" s="183"/>
      <c r="AD23" s="25"/>
      <c r="AE23" s="125" t="s">
        <v>83</v>
      </c>
      <c r="AF23" s="126"/>
      <c r="AG23" s="126"/>
      <c r="AH23" s="126"/>
      <c r="AI23" s="126"/>
      <c r="AJ23" s="126"/>
      <c r="AK23" s="127"/>
      <c r="AL23" s="184"/>
    </row>
    <row r="24" ht="24" customHeight="1" spans="1:38" x14ac:dyDescent="0.25">
      <c r="A24" s="185" t="str">
        <f>DATOS!B3</f>
        <v>MORENO</v>
      </c>
      <c r="B24" s="186"/>
      <c r="C24" s="186"/>
      <c r="D24" s="186"/>
      <c r="E24" s="186"/>
      <c r="F24" s="186"/>
      <c r="G24" s="186"/>
      <c r="H24" s="187"/>
      <c r="I24" s="185" t="str">
        <f>DATOS!C3</f>
        <v>ROZO</v>
      </c>
      <c r="J24" s="186"/>
      <c r="K24" s="186"/>
      <c r="L24" s="186"/>
      <c r="M24" s="186"/>
      <c r="N24" s="186"/>
      <c r="O24" s="187"/>
      <c r="P24" s="185" t="str">
        <f>DATOS!D3</f>
        <v>LORENA</v>
      </c>
      <c r="Q24" s="186"/>
      <c r="R24" s="186"/>
      <c r="S24" s="186"/>
      <c r="T24" s="186"/>
      <c r="U24" s="187"/>
      <c r="V24" s="25"/>
      <c r="W24" s="188" t="s">
        <v>84</v>
      </c>
      <c r="X24" s="188" t="s">
        <v>85</v>
      </c>
      <c r="Y24" s="188" t="s">
        <v>86</v>
      </c>
      <c r="Z24" s="188" t="s">
        <v>87</v>
      </c>
      <c r="AA24" s="189" t="s">
        <v>88</v>
      </c>
      <c r="AB24" s="188" t="s">
        <v>89</v>
      </c>
      <c r="AC24" s="190"/>
      <c r="AD24" s="111"/>
      <c r="AE24" s="191" t="str">
        <f>DATOS!B30</f>
        <v>9FB5SREB4LM325716</v>
      </c>
      <c r="AF24" s="192"/>
      <c r="AG24" s="192"/>
      <c r="AH24" s="192"/>
      <c r="AI24" s="192"/>
      <c r="AJ24" s="192"/>
      <c r="AK24" s="193"/>
      <c r="AL24" s="16"/>
    </row>
    <row r="25" ht="10.15" customHeight="1" spans="1:38" x14ac:dyDescent="0.25">
      <c r="A25" s="30" t="s">
        <v>90</v>
      </c>
      <c r="B25" s="31"/>
      <c r="C25" s="31" t="s">
        <v>91</v>
      </c>
      <c r="D25" s="32" t="s">
        <v>92</v>
      </c>
      <c r="E25" s="33"/>
      <c r="F25" s="34"/>
      <c r="G25" s="32" t="s">
        <v>93</v>
      </c>
      <c r="H25" s="33"/>
      <c r="I25" s="34"/>
      <c r="J25" s="32" t="s">
        <v>94</v>
      </c>
      <c r="K25" s="34"/>
      <c r="L25" s="32" t="s">
        <v>95</v>
      </c>
      <c r="M25" s="33"/>
      <c r="N25" s="34"/>
      <c r="O25" s="34" t="s">
        <v>96</v>
      </c>
      <c r="P25" s="32" t="s">
        <v>97</v>
      </c>
      <c r="Q25" s="33"/>
      <c r="R25" s="34"/>
      <c r="S25" s="32" t="s">
        <v>98</v>
      </c>
      <c r="T25" s="33"/>
      <c r="U25" s="34"/>
      <c r="V25" s="25"/>
      <c r="W25" s="188"/>
      <c r="X25" s="190"/>
      <c r="Y25" s="190"/>
      <c r="Z25" s="188"/>
      <c r="AA25" s="194"/>
      <c r="AB25" s="190"/>
      <c r="AC25" s="190"/>
      <c r="AD25" s="195"/>
      <c r="AE25" s="196"/>
      <c r="AF25" s="197"/>
      <c r="AG25" s="197"/>
      <c r="AH25" s="197"/>
      <c r="AI25" s="197"/>
      <c r="AJ25" s="197"/>
      <c r="AK25" s="198"/>
      <c r="AL25" s="16"/>
    </row>
    <row r="26" ht="10.15" customHeight="1" spans="1:38" x14ac:dyDescent="0.25">
      <c r="A26" s="199" t="s">
        <v>99</v>
      </c>
      <c r="B26" s="200"/>
      <c r="C26" s="201" t="s">
        <v>100</v>
      </c>
      <c r="D26" s="199" t="s">
        <v>101</v>
      </c>
      <c r="E26" s="202"/>
      <c r="F26" s="200"/>
      <c r="G26" s="199" t="s">
        <v>102</v>
      </c>
      <c r="H26" s="202"/>
      <c r="I26" s="200"/>
      <c r="J26" s="199" t="s">
        <v>103</v>
      </c>
      <c r="K26" s="200"/>
      <c r="L26" s="199" t="s">
        <v>104</v>
      </c>
      <c r="M26" s="202"/>
      <c r="N26" s="200"/>
      <c r="O26" s="201" t="s">
        <v>105</v>
      </c>
      <c r="P26" s="199" t="s">
        <v>106</v>
      </c>
      <c r="Q26" s="202"/>
      <c r="R26" s="200"/>
      <c r="S26" s="203">
        <f>DATOS!B4</f>
        <v>1110451335</v>
      </c>
      <c r="T26" s="204"/>
      <c r="U26" s="205"/>
      <c r="V26" s="25"/>
      <c r="W26" s="206" t="s">
        <v>98</v>
      </c>
      <c r="X26" s="206"/>
      <c r="Y26" s="206"/>
      <c r="Z26" s="180" t="s">
        <v>107</v>
      </c>
      <c r="AA26" s="180"/>
      <c r="AB26" s="180"/>
      <c r="AC26" s="180"/>
      <c r="AD26" s="76"/>
      <c r="AE26" s="184"/>
      <c r="AF26" s="184"/>
      <c r="AG26" s="184"/>
      <c r="AH26" s="184"/>
      <c r="AI26" s="184"/>
      <c r="AJ26" s="184"/>
      <c r="AK26" s="207"/>
      <c r="AL26" s="184"/>
    </row>
    <row r="27" ht="10.15" customHeight="1" spans="1:38" x14ac:dyDescent="0.25">
      <c r="A27" s="208"/>
      <c r="B27" s="209"/>
      <c r="C27" s="210"/>
      <c r="D27" s="208"/>
      <c r="E27" s="211"/>
      <c r="F27" s="209"/>
      <c r="G27" s="208"/>
      <c r="H27" s="211"/>
      <c r="I27" s="209"/>
      <c r="J27" s="208"/>
      <c r="K27" s="209"/>
      <c r="L27" s="208"/>
      <c r="M27" s="211"/>
      <c r="N27" s="209"/>
      <c r="O27" s="210"/>
      <c r="P27" s="208"/>
      <c r="Q27" s="211"/>
      <c r="R27" s="209"/>
      <c r="S27" s="212"/>
      <c r="T27" s="213"/>
      <c r="U27" s="214"/>
      <c r="V27" s="25"/>
      <c r="W27" s="215"/>
      <c r="X27" s="216"/>
      <c r="Y27" s="217"/>
      <c r="Z27" s="180" t="s">
        <v>10</v>
      </c>
      <c r="AA27" s="180" t="s">
        <v>11</v>
      </c>
      <c r="AB27" s="181" t="s">
        <v>12</v>
      </c>
      <c r="AC27" s="183"/>
      <c r="AD27" s="76"/>
      <c r="AE27" s="104" t="s">
        <v>108</v>
      </c>
      <c r="AF27" s="105"/>
      <c r="AG27" s="105"/>
      <c r="AH27" s="105"/>
      <c r="AI27" s="105"/>
      <c r="AJ27" s="105"/>
      <c r="AK27" s="106"/>
      <c r="AL27" s="14"/>
    </row>
    <row r="28" ht="10.15" customHeight="1" spans="1:38" x14ac:dyDescent="0.25">
      <c r="A28" s="218" t="s">
        <v>109</v>
      </c>
      <c r="B28" s="219"/>
      <c r="C28" s="219"/>
      <c r="D28" s="219"/>
      <c r="E28" s="219"/>
      <c r="F28" s="219"/>
      <c r="G28" s="219"/>
      <c r="H28" s="219"/>
      <c r="I28" s="219"/>
      <c r="J28" s="219"/>
      <c r="K28" s="219"/>
      <c r="L28" s="220"/>
      <c r="M28" s="218" t="s">
        <v>7</v>
      </c>
      <c r="N28" s="219"/>
      <c r="O28" s="219"/>
      <c r="P28" s="219"/>
      <c r="Q28" s="219"/>
      <c r="R28" s="220"/>
      <c r="S28" s="218" t="s">
        <v>110</v>
      </c>
      <c r="T28" s="219"/>
      <c r="U28" s="220"/>
      <c r="V28" s="25"/>
      <c r="W28" s="221"/>
      <c r="X28" s="222"/>
      <c r="Y28" s="223"/>
      <c r="Z28" s="224"/>
      <c r="AA28" s="224"/>
      <c r="AB28" s="215"/>
      <c r="AC28" s="217"/>
      <c r="AD28" s="225"/>
      <c r="AE28" s="226" t="s">
        <v>111</v>
      </c>
      <c r="AF28" s="226" t="s">
        <v>112</v>
      </c>
      <c r="AG28" s="49" t="s">
        <v>113</v>
      </c>
      <c r="AH28" s="226" t="s">
        <v>114</v>
      </c>
      <c r="AI28" s="226" t="s">
        <v>115</v>
      </c>
      <c r="AJ28" s="227" t="s">
        <v>45</v>
      </c>
      <c r="AK28" s="228"/>
      <c r="AL28" s="229"/>
    </row>
    <row r="29" ht="21" customHeight="1" spans="1:38" x14ac:dyDescent="0.25">
      <c r="A29" s="230" t="str">
        <f>DATOS!B7</f>
        <v>Cr 8 sur 93 -65 conjunto Altagracia</v>
      </c>
      <c r="B29" s="231"/>
      <c r="C29" s="231"/>
      <c r="D29" s="231"/>
      <c r="E29" s="231"/>
      <c r="F29" s="231"/>
      <c r="G29" s="231"/>
      <c r="H29" s="231"/>
      <c r="I29" s="231"/>
      <c r="J29" s="231"/>
      <c r="K29" s="231"/>
      <c r="L29" s="232"/>
      <c r="M29" s="230" t="str">
        <f>DATOS!B8</f>
        <v>IBAGUE</v>
      </c>
      <c r="N29" s="231"/>
      <c r="O29" s="231"/>
      <c r="P29" s="231"/>
      <c r="Q29" s="231"/>
      <c r="R29" s="232"/>
      <c r="S29" s="203">
        <f>DATOS!B5</f>
        <v>3183023815</v>
      </c>
      <c r="T29" s="204"/>
      <c r="U29" s="205"/>
      <c r="V29" s="25"/>
      <c r="W29" s="233"/>
      <c r="X29" s="234"/>
      <c r="Y29" s="235"/>
      <c r="Z29" s="236"/>
      <c r="AA29" s="236"/>
      <c r="AB29" s="233"/>
      <c r="AC29" s="235"/>
      <c r="AD29" s="76"/>
      <c r="AE29" s="237" t="s">
        <v>116</v>
      </c>
      <c r="AF29" s="237" t="s">
        <v>117</v>
      </c>
      <c r="AG29" s="237" t="s">
        <v>118</v>
      </c>
      <c r="AH29" s="237" t="s">
        <v>119</v>
      </c>
      <c r="AI29" s="237" t="s">
        <v>120</v>
      </c>
      <c r="AJ29" s="238" t="s">
        <v>121</v>
      </c>
      <c r="AK29" s="217"/>
      <c r="AL29" s="222"/>
    </row>
    <row r="30" ht="10.9" customHeight="1" spans="1:38" x14ac:dyDescent="0.25">
      <c r="A30" s="239" t="s">
        <v>122</v>
      </c>
      <c r="B30" s="240"/>
      <c r="C30" s="240"/>
      <c r="D30" s="240"/>
      <c r="E30" s="240"/>
      <c r="F30" s="240"/>
      <c r="G30" s="240"/>
      <c r="H30" s="240"/>
      <c r="I30" s="240"/>
      <c r="J30" s="240"/>
      <c r="K30" s="240"/>
      <c r="L30" s="240"/>
      <c r="M30" s="240"/>
      <c r="N30" s="240"/>
      <c r="O30" s="240"/>
      <c r="P30" s="240"/>
      <c r="Q30" s="240"/>
      <c r="R30" s="240"/>
      <c r="S30" s="240"/>
      <c r="T30" s="240"/>
      <c r="U30" s="241"/>
      <c r="V30" s="25"/>
      <c r="W30" s="16"/>
      <c r="X30" s="16"/>
      <c r="Y30" s="16"/>
      <c r="Z30" s="16"/>
      <c r="AA30" s="16"/>
      <c r="AB30" s="16"/>
      <c r="AC30" s="16"/>
      <c r="AD30" s="76"/>
      <c r="AE30" s="180"/>
      <c r="AF30" s="180"/>
      <c r="AG30" s="180"/>
      <c r="AH30" s="180"/>
      <c r="AI30" s="180"/>
      <c r="AJ30" s="233"/>
      <c r="AK30" s="235"/>
      <c r="AL30" s="222"/>
    </row>
    <row r="31" ht="10.15" customHeight="1" spans="1:38" x14ac:dyDescent="0.25">
      <c r="A31" s="242"/>
      <c r="B31" s="243"/>
      <c r="C31" s="243"/>
      <c r="D31" s="243"/>
      <c r="E31" s="243"/>
      <c r="F31" s="243"/>
      <c r="G31" s="243"/>
      <c r="H31" s="243"/>
      <c r="I31" s="243"/>
      <c r="J31" s="243"/>
      <c r="K31" s="243"/>
      <c r="L31" s="243"/>
      <c r="M31" s="243"/>
      <c r="N31" s="243"/>
      <c r="O31" s="243"/>
      <c r="P31" s="243"/>
      <c r="Q31" s="243"/>
      <c r="R31" s="243"/>
      <c r="S31" s="243"/>
      <c r="T31" s="243"/>
      <c r="U31" s="244"/>
      <c r="V31" s="25"/>
      <c r="W31" s="82" t="s">
        <v>123</v>
      </c>
      <c r="X31" s="83"/>
      <c r="Y31" s="83"/>
      <c r="Z31" s="83"/>
      <c r="AA31" s="83"/>
      <c r="AB31" s="83"/>
      <c r="AC31" s="84"/>
      <c r="AD31" s="76"/>
      <c r="AE31" s="82" t="s">
        <v>124</v>
      </c>
      <c r="AF31" s="83"/>
      <c r="AG31" s="83"/>
      <c r="AH31" s="83"/>
      <c r="AI31" s="83"/>
      <c r="AJ31" s="83"/>
      <c r="AK31" s="84"/>
      <c r="AL31" s="85"/>
    </row>
    <row r="32" ht="19.15" customHeight="1" spans="1:38" x14ac:dyDescent="0.25">
      <c r="A32" s="245"/>
      <c r="B32" s="246"/>
      <c r="C32" s="246"/>
      <c r="D32" s="246"/>
      <c r="E32" s="246"/>
      <c r="F32" s="246"/>
      <c r="G32" s="246"/>
      <c r="H32" s="246"/>
      <c r="I32" s="246"/>
      <c r="J32" s="246"/>
      <c r="K32" s="246"/>
      <c r="L32" s="246"/>
      <c r="M32" s="246"/>
      <c r="N32" s="246"/>
      <c r="O32" s="246"/>
      <c r="P32" s="246"/>
      <c r="Q32" s="246"/>
      <c r="R32" s="246"/>
      <c r="S32" s="246"/>
      <c r="T32" s="246"/>
      <c r="U32" s="247"/>
      <c r="V32" s="25"/>
      <c r="W32" s="248" t="s">
        <v>125</v>
      </c>
      <c r="X32" s="249" t="s">
        <v>126</v>
      </c>
      <c r="Y32" s="250"/>
      <c r="Z32" s="248" t="s">
        <v>127</v>
      </c>
      <c r="AA32" s="248" t="s">
        <v>128</v>
      </c>
      <c r="AB32" s="251" t="s">
        <v>129</v>
      </c>
      <c r="AC32" s="252"/>
      <c r="AD32" s="253"/>
      <c r="AE32" s="254" t="s">
        <v>4</v>
      </c>
      <c r="AF32" s="255"/>
      <c r="AG32" s="255"/>
      <c r="AH32" s="255"/>
      <c r="AI32" s="255"/>
      <c r="AJ32" s="256" t="s">
        <v>91</v>
      </c>
      <c r="AK32" s="257"/>
      <c r="AL32" s="258"/>
    </row>
    <row r="33" ht="8.45" customHeight="1" spans="1:38" x14ac:dyDescent="0.25">
      <c r="A33" s="259"/>
      <c r="B33" s="260"/>
      <c r="C33" s="260"/>
      <c r="D33" s="260"/>
      <c r="E33" s="260"/>
      <c r="F33" s="260"/>
      <c r="G33" s="260"/>
      <c r="H33" s="260"/>
      <c r="I33" s="260"/>
      <c r="J33" s="260"/>
      <c r="K33" s="260"/>
      <c r="L33" s="260"/>
      <c r="M33" s="260"/>
      <c r="N33" s="260"/>
      <c r="O33" s="260"/>
      <c r="P33" s="260"/>
      <c r="Q33" s="260"/>
      <c r="R33" s="260"/>
      <c r="S33" s="260"/>
      <c r="T33" s="260"/>
      <c r="U33" s="260"/>
      <c r="V33" s="25"/>
      <c r="W33" s="261"/>
      <c r="X33" s="262"/>
      <c r="Y33" s="263"/>
      <c r="Z33" s="261"/>
      <c r="AA33" s="261"/>
      <c r="AB33" s="264"/>
      <c r="AC33" s="265"/>
      <c r="AD33" s="157"/>
      <c r="AE33" s="266"/>
      <c r="AF33" s="267"/>
      <c r="AG33" s="267"/>
      <c r="AH33" s="267"/>
      <c r="AI33" s="267"/>
      <c r="AJ33" s="268"/>
      <c r="AK33" s="269"/>
      <c r="AL33" s="258"/>
    </row>
    <row r="34" ht="10.15" customHeight="1" spans="1:38" x14ac:dyDescent="0.25">
      <c r="A34" s="64" t="s">
        <v>130</v>
      </c>
      <c r="B34" s="65"/>
      <c r="C34" s="65"/>
      <c r="D34" s="65"/>
      <c r="E34" s="65"/>
      <c r="F34" s="65"/>
      <c r="G34" s="65"/>
      <c r="H34" s="65"/>
      <c r="I34" s="65"/>
      <c r="J34" s="65"/>
      <c r="K34" s="65"/>
      <c r="L34" s="65"/>
      <c r="M34" s="65"/>
      <c r="N34" s="65"/>
      <c r="O34" s="65"/>
      <c r="P34" s="65"/>
      <c r="Q34" s="65"/>
      <c r="R34" s="65"/>
      <c r="S34" s="65"/>
      <c r="T34" s="65"/>
      <c r="U34" s="65"/>
      <c r="V34" s="25"/>
      <c r="W34" s="261"/>
      <c r="X34" s="262"/>
      <c r="Y34" s="263"/>
      <c r="Z34" s="261"/>
      <c r="AA34" s="261"/>
      <c r="AB34" s="264"/>
      <c r="AC34" s="265"/>
      <c r="AD34" s="157"/>
      <c r="AE34" s="266"/>
      <c r="AF34" s="267"/>
      <c r="AG34" s="267"/>
      <c r="AH34" s="267"/>
      <c r="AI34" s="267"/>
      <c r="AJ34" s="268"/>
      <c r="AK34" s="269"/>
      <c r="AL34" s="258"/>
    </row>
    <row r="35" ht="10.15" customHeight="1" spans="1:38" x14ac:dyDescent="0.25">
      <c r="A35" s="72"/>
      <c r="B35" s="73"/>
      <c r="C35" s="73"/>
      <c r="D35" s="73"/>
      <c r="E35" s="73"/>
      <c r="F35" s="73"/>
      <c r="G35" s="73"/>
      <c r="H35" s="73"/>
      <c r="I35" s="73"/>
      <c r="J35" s="73"/>
      <c r="K35" s="73"/>
      <c r="L35" s="73"/>
      <c r="M35" s="73"/>
      <c r="N35" s="73"/>
      <c r="O35" s="73"/>
      <c r="P35" s="73"/>
      <c r="Q35" s="73"/>
      <c r="R35" s="73"/>
      <c r="S35" s="73"/>
      <c r="T35" s="73"/>
      <c r="U35" s="73"/>
      <c r="V35" s="25"/>
      <c r="W35" s="270"/>
      <c r="X35" s="271"/>
      <c r="Y35" s="272"/>
      <c r="Z35" s="270"/>
      <c r="AA35" s="270"/>
      <c r="AB35" s="273"/>
      <c r="AC35" s="274"/>
      <c r="AD35" s="267"/>
      <c r="AE35" s="275"/>
      <c r="AF35" s="276"/>
      <c r="AG35" s="276"/>
      <c r="AH35" s="276"/>
      <c r="AI35" s="276"/>
      <c r="AJ35" s="277"/>
      <c r="AK35" s="278"/>
      <c r="AL35" s="258"/>
    </row>
    <row r="36" ht="10.9" customHeight="1" spans="1:38" x14ac:dyDescent="0.25">
      <c r="A36" s="177" t="s">
        <v>78</v>
      </c>
      <c r="B36" s="178"/>
      <c r="C36" s="178"/>
      <c r="D36" s="178"/>
      <c r="E36" s="178"/>
      <c r="F36" s="178"/>
      <c r="G36" s="178"/>
      <c r="H36" s="179"/>
      <c r="I36" s="177" t="s">
        <v>79</v>
      </c>
      <c r="J36" s="178"/>
      <c r="K36" s="178"/>
      <c r="L36" s="178"/>
      <c r="M36" s="178"/>
      <c r="N36" s="178"/>
      <c r="O36" s="179"/>
      <c r="P36" s="177" t="s">
        <v>80</v>
      </c>
      <c r="Q36" s="178"/>
      <c r="R36" s="178"/>
      <c r="S36" s="178"/>
      <c r="T36" s="178"/>
      <c r="U36" s="179"/>
      <c r="V36" s="25"/>
      <c r="W36" s="279"/>
      <c r="X36" s="279"/>
      <c r="Y36" s="279"/>
      <c r="Z36" s="279"/>
      <c r="AA36" s="279"/>
      <c r="AB36" s="279"/>
      <c r="AC36" s="279"/>
      <c r="AD36" s="279"/>
      <c r="AE36" s="279"/>
      <c r="AF36" s="279"/>
      <c r="AG36" s="279"/>
      <c r="AH36" s="279"/>
      <c r="AI36" s="279"/>
      <c r="AJ36" s="279"/>
      <c r="AK36" s="280"/>
      <c r="AL36" s="157"/>
    </row>
    <row r="37" ht="9" customHeight="1" spans="1:38" x14ac:dyDescent="0.25">
      <c r="A37" s="281" t="str">
        <f>DATOS!B11</f>
        <v>LOAIZA</v>
      </c>
      <c r="B37" s="282"/>
      <c r="C37" s="282"/>
      <c r="D37" s="282"/>
      <c r="E37" s="282"/>
      <c r="F37" s="282"/>
      <c r="G37" s="282"/>
      <c r="H37" s="283"/>
      <c r="I37" s="281" t="str">
        <f>DATOS!C11</f>
        <v>IDARRAGA</v>
      </c>
      <c r="J37" s="282"/>
      <c r="K37" s="282"/>
      <c r="L37" s="282"/>
      <c r="M37" s="282"/>
      <c r="N37" s="282"/>
      <c r="O37" s="283"/>
      <c r="P37" s="284" t="str">
        <f>DATOS!D11</f>
        <v>LUCELY</v>
      </c>
      <c r="Q37" s="285"/>
      <c r="R37" s="285"/>
      <c r="S37" s="285"/>
      <c r="T37" s="285"/>
      <c r="U37" s="286"/>
      <c r="V37" s="25"/>
      <c r="W37" s="82" t="s">
        <v>131</v>
      </c>
      <c r="X37" s="83"/>
      <c r="Y37" s="83"/>
      <c r="Z37" s="83"/>
      <c r="AA37" s="83"/>
      <c r="AB37" s="83"/>
      <c r="AC37" s="83"/>
      <c r="AD37" s="83"/>
      <c r="AE37" s="83"/>
      <c r="AF37" s="83"/>
      <c r="AG37" s="83"/>
      <c r="AH37" s="83"/>
      <c r="AI37" s="83"/>
      <c r="AJ37" s="83"/>
      <c r="AK37" s="84"/>
      <c r="AL37" s="85"/>
    </row>
    <row r="38" ht="9" customHeight="1" spans="1:38" x14ac:dyDescent="0.25">
      <c r="A38" s="287"/>
      <c r="B38" s="288"/>
      <c r="C38" s="288"/>
      <c r="D38" s="288"/>
      <c r="E38" s="288"/>
      <c r="F38" s="288"/>
      <c r="G38" s="288"/>
      <c r="H38" s="289"/>
      <c r="I38" s="287"/>
      <c r="J38" s="288"/>
      <c r="K38" s="288"/>
      <c r="L38" s="288"/>
      <c r="M38" s="288"/>
      <c r="N38" s="288"/>
      <c r="O38" s="289"/>
      <c r="P38" s="290"/>
      <c r="Q38" s="291"/>
      <c r="R38" s="291"/>
      <c r="S38" s="291"/>
      <c r="T38" s="291"/>
      <c r="U38" s="292"/>
      <c r="V38" s="25"/>
      <c r="W38" s="249" t="s">
        <v>132</v>
      </c>
      <c r="X38" s="293"/>
      <c r="Y38" s="293"/>
      <c r="Z38" s="293"/>
      <c r="AA38" s="293"/>
      <c r="AB38" s="293"/>
      <c r="AC38" s="293"/>
      <c r="AD38" s="293"/>
      <c r="AE38" s="293"/>
      <c r="AF38" s="293"/>
      <c r="AG38" s="293"/>
      <c r="AH38" s="293"/>
      <c r="AI38" s="293"/>
      <c r="AJ38" s="293"/>
      <c r="AK38" s="294"/>
      <c r="AL38" s="295"/>
    </row>
    <row r="39" ht="9" customHeight="1" spans="1:38" x14ac:dyDescent="0.25">
      <c r="A39" s="296"/>
      <c r="B39" s="297"/>
      <c r="C39" s="297"/>
      <c r="D39" s="297"/>
      <c r="E39" s="297"/>
      <c r="F39" s="297"/>
      <c r="G39" s="297"/>
      <c r="H39" s="298"/>
      <c r="I39" s="296"/>
      <c r="J39" s="297"/>
      <c r="K39" s="297"/>
      <c r="L39" s="297"/>
      <c r="M39" s="297"/>
      <c r="N39" s="297"/>
      <c r="O39" s="298"/>
      <c r="P39" s="299"/>
      <c r="Q39" s="300"/>
      <c r="R39" s="300"/>
      <c r="S39" s="300"/>
      <c r="T39" s="300"/>
      <c r="U39" s="301"/>
      <c r="V39" s="25"/>
      <c r="W39" s="302"/>
      <c r="X39" s="303"/>
      <c r="Y39" s="303"/>
      <c r="Z39" s="303"/>
      <c r="AA39" s="303"/>
      <c r="AB39" s="303"/>
      <c r="AC39" s="303"/>
      <c r="AD39" s="303"/>
      <c r="AE39" s="303"/>
      <c r="AF39" s="303"/>
      <c r="AG39" s="303"/>
      <c r="AH39" s="303"/>
      <c r="AI39" s="303"/>
      <c r="AJ39" s="303"/>
      <c r="AK39" s="304"/>
      <c r="AL39" s="305"/>
    </row>
    <row r="40" ht="10.9" customHeight="1" spans="1:38" x14ac:dyDescent="0.25">
      <c r="A40" s="30" t="s">
        <v>90</v>
      </c>
      <c r="B40" s="31"/>
      <c r="C40" s="31" t="s">
        <v>91</v>
      </c>
      <c r="D40" s="32" t="s">
        <v>92</v>
      </c>
      <c r="E40" s="33"/>
      <c r="F40" s="34"/>
      <c r="G40" s="32" t="s">
        <v>93</v>
      </c>
      <c r="H40" s="33"/>
      <c r="I40" s="34"/>
      <c r="J40" s="32" t="s">
        <v>94</v>
      </c>
      <c r="K40" s="34"/>
      <c r="L40" s="32" t="s">
        <v>95</v>
      </c>
      <c r="M40" s="33"/>
      <c r="N40" s="34"/>
      <c r="O40" s="34" t="s">
        <v>96</v>
      </c>
      <c r="P40" s="32" t="s">
        <v>97</v>
      </c>
      <c r="Q40" s="33"/>
      <c r="R40" s="34"/>
      <c r="S40" s="32" t="s">
        <v>98</v>
      </c>
      <c r="T40" s="33"/>
      <c r="U40" s="34"/>
      <c r="V40" s="25"/>
      <c r="W40" s="306"/>
      <c r="X40" s="307"/>
      <c r="Y40" s="307"/>
      <c r="Z40" s="307"/>
      <c r="AA40" s="307"/>
      <c r="AB40" s="307"/>
      <c r="AC40" s="307"/>
      <c r="AD40" s="308"/>
      <c r="AE40" s="307"/>
      <c r="AF40" s="307"/>
      <c r="AG40" s="307"/>
      <c r="AH40" s="307"/>
      <c r="AI40" s="307"/>
      <c r="AJ40" s="307"/>
      <c r="AK40" s="309"/>
      <c r="AL40" s="305"/>
    </row>
    <row r="41" ht="10.15" customHeight="1" spans="1:38" x14ac:dyDescent="0.25">
      <c r="A41" s="199" t="s">
        <v>99</v>
      </c>
      <c r="B41" s="200"/>
      <c r="C41" s="201" t="s">
        <v>100</v>
      </c>
      <c r="D41" s="199" t="s">
        <v>101</v>
      </c>
      <c r="E41" s="202"/>
      <c r="F41" s="200"/>
      <c r="G41" s="199" t="s">
        <v>102</v>
      </c>
      <c r="H41" s="202"/>
      <c r="I41" s="200"/>
      <c r="J41" s="199" t="s">
        <v>103</v>
      </c>
      <c r="K41" s="200"/>
      <c r="L41" s="199" t="s">
        <v>104</v>
      </c>
      <c r="M41" s="202"/>
      <c r="N41" s="200"/>
      <c r="O41" s="201" t="s">
        <v>105</v>
      </c>
      <c r="P41" s="199" t="s">
        <v>106</v>
      </c>
      <c r="Q41" s="202"/>
      <c r="R41" s="200"/>
      <c r="S41" s="203">
        <f>DATOS!B12</f>
        <v>52536644</v>
      </c>
      <c r="T41" s="204"/>
      <c r="U41" s="205"/>
      <c r="V41" s="25"/>
      <c r="W41" s="310"/>
      <c r="X41" s="311"/>
      <c r="Y41" s="311"/>
      <c r="Z41" s="311"/>
      <c r="AA41" s="311"/>
      <c r="AB41" s="311"/>
      <c r="AC41" s="311"/>
      <c r="AD41" s="311"/>
      <c r="AE41" s="311"/>
      <c r="AF41" s="311"/>
      <c r="AG41" s="311"/>
      <c r="AH41" s="311"/>
      <c r="AI41" s="311"/>
      <c r="AJ41" s="311"/>
      <c r="AK41" s="312"/>
      <c r="AL41" s="16"/>
    </row>
    <row r="42" ht="3.6" customHeight="1" spans="1:38" x14ac:dyDescent="0.25">
      <c r="A42" s="208"/>
      <c r="B42" s="209"/>
      <c r="C42" s="210"/>
      <c r="D42" s="208"/>
      <c r="E42" s="211"/>
      <c r="F42" s="209"/>
      <c r="G42" s="208"/>
      <c r="H42" s="211"/>
      <c r="I42" s="209"/>
      <c r="J42" s="208"/>
      <c r="K42" s="209"/>
      <c r="L42" s="208"/>
      <c r="M42" s="211"/>
      <c r="N42" s="209"/>
      <c r="O42" s="210"/>
      <c r="P42" s="208"/>
      <c r="Q42" s="211"/>
      <c r="R42" s="209"/>
      <c r="S42" s="212"/>
      <c r="T42" s="213"/>
      <c r="U42" s="214"/>
      <c r="V42" s="25"/>
      <c r="W42" s="37"/>
      <c r="X42" s="38"/>
      <c r="Y42" s="38"/>
      <c r="Z42" s="38"/>
      <c r="AA42" s="38"/>
      <c r="AB42" s="38"/>
      <c r="AC42" s="38"/>
      <c r="AD42" s="38"/>
      <c r="AE42" s="38"/>
      <c r="AF42" s="38"/>
      <c r="AG42" s="38"/>
      <c r="AH42" s="38"/>
      <c r="AI42" s="38"/>
      <c r="AJ42" s="38"/>
      <c r="AK42" s="39"/>
      <c r="AL42" s="16"/>
    </row>
    <row r="43" ht="10.9" customHeight="1" spans="1:38" x14ac:dyDescent="0.25">
      <c r="A43" s="218" t="s">
        <v>109</v>
      </c>
      <c r="B43" s="219"/>
      <c r="C43" s="219"/>
      <c r="D43" s="219"/>
      <c r="E43" s="219"/>
      <c r="F43" s="219"/>
      <c r="G43" s="219"/>
      <c r="H43" s="219"/>
      <c r="I43" s="219"/>
      <c r="J43" s="219"/>
      <c r="K43" s="219"/>
      <c r="L43" s="220"/>
      <c r="M43" s="218" t="s">
        <v>7</v>
      </c>
      <c r="N43" s="219"/>
      <c r="O43" s="219"/>
      <c r="P43" s="219"/>
      <c r="Q43" s="219"/>
      <c r="R43" s="220"/>
      <c r="S43" s="218" t="s">
        <v>110</v>
      </c>
      <c r="T43" s="219"/>
      <c r="U43" s="220"/>
      <c r="V43" s="25"/>
      <c r="W43" s="104" t="s">
        <v>133</v>
      </c>
      <c r="X43" s="105"/>
      <c r="Y43" s="105"/>
      <c r="Z43" s="105"/>
      <c r="AA43" s="105"/>
      <c r="AB43" s="105"/>
      <c r="AC43" s="105"/>
      <c r="AD43" s="105"/>
      <c r="AE43" s="105"/>
      <c r="AF43" s="105"/>
      <c r="AG43" s="105"/>
      <c r="AH43" s="105"/>
      <c r="AI43" s="105"/>
      <c r="AJ43" s="105"/>
      <c r="AK43" s="106"/>
      <c r="AL43" s="14"/>
    </row>
    <row r="44" ht="21" customHeight="1" spans="1:38" x14ac:dyDescent="0.25">
      <c r="A44" s="230" t="str">
        <f>DATOS!B15</f>
        <v>Mnz e casa 22 barrio entre ríos </v>
      </c>
      <c r="B44" s="231"/>
      <c r="C44" s="231"/>
      <c r="D44" s="231"/>
      <c r="E44" s="231"/>
      <c r="F44" s="231"/>
      <c r="G44" s="231"/>
      <c r="H44" s="231"/>
      <c r="I44" s="231"/>
      <c r="J44" s="231"/>
      <c r="K44" s="231"/>
      <c r="L44" s="232"/>
      <c r="M44" s="230" t="str">
        <f>DATOS!B16</f>
        <v>ESPINAL</v>
      </c>
      <c r="N44" s="231"/>
      <c r="O44" s="231"/>
      <c r="P44" s="231"/>
      <c r="Q44" s="231"/>
      <c r="R44" s="232"/>
      <c r="S44" s="203">
        <f>DATOS!B13</f>
        <v>3102925585</v>
      </c>
      <c r="T44" s="204"/>
      <c r="U44" s="205"/>
      <c r="V44" s="25"/>
      <c r="W44" s="313" t="s">
        <v>134</v>
      </c>
      <c r="X44" s="314"/>
      <c r="Y44" s="314"/>
      <c r="Z44" s="314"/>
      <c r="AA44" s="314"/>
      <c r="AB44" s="314"/>
      <c r="AC44" s="314"/>
      <c r="AD44" s="314"/>
      <c r="AE44" s="314"/>
      <c r="AF44" s="314"/>
      <c r="AG44" s="314"/>
      <c r="AH44" s="314"/>
      <c r="AI44" s="314"/>
      <c r="AJ44" s="314"/>
      <c r="AK44" s="315"/>
      <c r="AL44" s="316"/>
    </row>
    <row r="45" ht="10.9" customHeight="1" spans="1:38" x14ac:dyDescent="0.25">
      <c r="A45" s="239" t="s">
        <v>135</v>
      </c>
      <c r="B45" s="240"/>
      <c r="C45" s="240"/>
      <c r="D45" s="240"/>
      <c r="E45" s="240"/>
      <c r="F45" s="240"/>
      <c r="G45" s="240"/>
      <c r="H45" s="240"/>
      <c r="I45" s="240"/>
      <c r="J45" s="240"/>
      <c r="K45" s="240"/>
      <c r="L45" s="240"/>
      <c r="M45" s="240"/>
      <c r="N45" s="240"/>
      <c r="O45" s="240"/>
      <c r="P45" s="240"/>
      <c r="Q45" s="240"/>
      <c r="R45" s="240"/>
      <c r="S45" s="240"/>
      <c r="T45" s="240"/>
      <c r="U45" s="241"/>
      <c r="V45" s="25"/>
      <c r="W45" s="317"/>
      <c r="X45" s="316"/>
      <c r="Y45" s="316"/>
      <c r="Z45" s="316"/>
      <c r="AA45" s="316"/>
      <c r="AB45" s="316"/>
      <c r="AC45" s="316"/>
      <c r="AD45" s="316"/>
      <c r="AE45" s="316"/>
      <c r="AF45" s="316"/>
      <c r="AG45" s="316"/>
      <c r="AH45" s="316"/>
      <c r="AI45" s="316"/>
      <c r="AJ45" s="316"/>
      <c r="AK45" s="318"/>
      <c r="AL45" s="316"/>
    </row>
    <row r="46" ht="18.6" customHeight="1" spans="1:38" x14ac:dyDescent="0.25">
      <c r="A46" s="242"/>
      <c r="B46" s="243"/>
      <c r="C46" s="243"/>
      <c r="D46" s="243"/>
      <c r="E46" s="243"/>
      <c r="F46" s="243"/>
      <c r="G46" s="243"/>
      <c r="H46" s="243"/>
      <c r="I46" s="243"/>
      <c r="J46" s="243"/>
      <c r="K46" s="243"/>
      <c r="L46" s="243"/>
      <c r="M46" s="243"/>
      <c r="N46" s="243"/>
      <c r="O46" s="243"/>
      <c r="P46" s="243"/>
      <c r="Q46" s="243"/>
      <c r="R46" s="243"/>
      <c r="S46" s="243"/>
      <c r="T46" s="243"/>
      <c r="U46" s="244"/>
      <c r="V46" s="25"/>
      <c r="W46" s="37"/>
      <c r="X46" s="38"/>
      <c r="Y46" s="38"/>
      <c r="Z46" s="38"/>
      <c r="AA46" s="38"/>
      <c r="AB46" s="38"/>
      <c r="AC46" s="38"/>
      <c r="AD46" s="38"/>
      <c r="AE46" s="38"/>
      <c r="AF46" s="38"/>
      <c r="AG46" s="38"/>
      <c r="AH46" s="38"/>
      <c r="AI46" s="38"/>
      <c r="AJ46" s="38"/>
      <c r="AK46" s="39"/>
      <c r="AL46" s="16"/>
    </row>
    <row r="47" ht="18.6" customHeight="1" spans="1:38" x14ac:dyDescent="0.25">
      <c r="A47" s="245"/>
      <c r="B47" s="246"/>
      <c r="C47" s="246"/>
      <c r="D47" s="246"/>
      <c r="E47" s="246"/>
      <c r="F47" s="246"/>
      <c r="G47" s="246"/>
      <c r="H47" s="246"/>
      <c r="I47" s="246"/>
      <c r="J47" s="246"/>
      <c r="K47" s="246"/>
      <c r="L47" s="246"/>
      <c r="M47" s="246"/>
      <c r="N47" s="246"/>
      <c r="O47" s="246"/>
      <c r="P47" s="246"/>
      <c r="Q47" s="246"/>
      <c r="R47" s="246"/>
      <c r="S47" s="246"/>
      <c r="T47" s="246"/>
      <c r="U47" s="247"/>
      <c r="V47" s="25"/>
      <c r="W47" s="44"/>
      <c r="X47" s="319"/>
      <c r="Y47" s="319"/>
      <c r="Z47" s="319"/>
      <c r="AA47" s="319"/>
      <c r="AB47" s="319"/>
      <c r="AC47" s="319"/>
      <c r="AD47" s="319"/>
      <c r="AE47" s="319"/>
      <c r="AF47" s="319"/>
      <c r="AG47" s="319"/>
      <c r="AH47" s="319"/>
      <c r="AI47" s="319"/>
      <c r="AJ47" s="319"/>
      <c r="AK47" s="45"/>
      <c r="AL47" s="157"/>
    </row>
    <row r="48" ht="36" customHeight="1" spans="1:38" x14ac:dyDescent="0.25">
      <c r="A48" s="320" t="s">
        <v>136</v>
      </c>
      <c r="B48" s="320"/>
      <c r="C48" s="320"/>
      <c r="D48" s="320"/>
      <c r="E48" s="320"/>
      <c r="F48" s="320"/>
      <c r="G48" s="320"/>
      <c r="H48" s="320"/>
      <c r="I48" s="320"/>
      <c r="J48" s="320"/>
      <c r="K48" s="320"/>
      <c r="L48" s="320"/>
      <c r="M48" s="320"/>
      <c r="N48" s="320"/>
      <c r="O48" s="320"/>
      <c r="P48" s="320"/>
      <c r="Q48" s="320"/>
      <c r="R48" s="320"/>
      <c r="S48" s="320"/>
      <c r="T48" s="320"/>
      <c r="U48" s="320"/>
      <c r="V48" s="321"/>
      <c r="W48" s="322"/>
      <c r="X48" s="322"/>
      <c r="Y48" s="322"/>
      <c r="Z48" s="322"/>
      <c r="AA48" s="322"/>
      <c r="AB48" s="322"/>
      <c r="AC48" s="322"/>
      <c r="AD48" s="322"/>
      <c r="AE48" s="322"/>
      <c r="AF48" s="322"/>
      <c r="AG48" s="322"/>
      <c r="AH48" s="322"/>
      <c r="AI48" s="322"/>
      <c r="AJ48" s="322"/>
      <c r="AK48" s="322"/>
      <c r="AL48" s="322"/>
    </row>
    <row r="49" ht="30" customHeight="1" spans="1:38" x14ac:dyDescent="0.25">
      <c r="A49" s="323"/>
      <c r="B49" s="323"/>
      <c r="C49" s="323"/>
      <c r="D49" s="323"/>
      <c r="E49" s="323"/>
      <c r="F49" s="323"/>
      <c r="G49" s="323"/>
      <c r="H49" s="323"/>
      <c r="I49" s="323"/>
      <c r="J49" s="323"/>
      <c r="K49" s="323"/>
      <c r="L49" s="323"/>
      <c r="M49" s="323"/>
      <c r="N49" s="323"/>
      <c r="O49" s="323"/>
      <c r="P49" s="323"/>
      <c r="Q49" s="323"/>
      <c r="R49" s="323"/>
      <c r="S49" s="323"/>
      <c r="T49" s="323"/>
      <c r="U49" s="323"/>
      <c r="V49" s="321"/>
      <c r="W49" s="322"/>
      <c r="X49" s="322"/>
      <c r="Y49" s="322"/>
      <c r="Z49" s="322"/>
      <c r="AA49" s="322"/>
      <c r="AB49" s="322"/>
      <c r="AC49" s="322"/>
      <c r="AD49" s="322"/>
      <c r="AE49" s="322"/>
      <c r="AF49" s="322"/>
      <c r="AG49" s="322"/>
      <c r="AH49" s="322"/>
      <c r="AI49" s="322"/>
      <c r="AJ49" s="322"/>
      <c r="AK49" s="322"/>
      <c r="AL49" s="322"/>
    </row>
    <row r="50" ht="9.6" customHeight="1" spans="1:37" x14ac:dyDescent="0.25">
      <c r="A50" s="324"/>
      <c r="B50" s="325"/>
      <c r="C50" s="325"/>
      <c r="D50" s="325"/>
      <c r="E50" s="325"/>
      <c r="F50" s="325"/>
      <c r="G50" s="325"/>
      <c r="H50" s="325"/>
      <c r="I50" s="325"/>
      <c r="J50" s="325"/>
      <c r="K50" s="325"/>
      <c r="L50" s="325"/>
      <c r="M50" s="325"/>
      <c r="N50" s="325"/>
      <c r="O50" s="325"/>
      <c r="P50" s="325"/>
      <c r="Q50" s="325"/>
      <c r="R50" s="325"/>
      <c r="S50" s="325"/>
      <c r="T50" s="325"/>
      <c r="U50" s="325"/>
      <c r="V50" s="325"/>
      <c r="W50" s="325"/>
      <c r="X50" s="325"/>
      <c r="Y50" s="324"/>
      <c r="Z50" s="325"/>
      <c r="AA50" s="325"/>
      <c r="AB50" s="325"/>
      <c r="AC50" s="325"/>
      <c r="AD50" s="325"/>
      <c r="AE50" s="326"/>
      <c r="AF50" s="326"/>
      <c r="AG50" s="326"/>
      <c r="AH50" s="326"/>
      <c r="AI50" s="327"/>
      <c r="AJ50" s="326"/>
      <c r="AK50" s="328"/>
    </row>
    <row r="51" spans="1:38" x14ac:dyDescent="0.25">
      <c r="A51" s="329" t="s">
        <v>137</v>
      </c>
      <c r="B51" s="111"/>
      <c r="C51" s="111"/>
      <c r="D51" s="111"/>
      <c r="E51" s="111"/>
      <c r="F51" s="111"/>
      <c r="G51" s="111"/>
      <c r="H51" s="111"/>
      <c r="I51" s="111"/>
      <c r="J51" s="111"/>
      <c r="K51" s="111"/>
      <c r="L51" s="111"/>
      <c r="M51" s="111"/>
      <c r="N51" s="111"/>
      <c r="O51" s="111"/>
      <c r="P51" s="111"/>
      <c r="Q51" s="111"/>
      <c r="R51" s="111"/>
      <c r="S51" s="111"/>
      <c r="T51" s="111"/>
      <c r="U51" s="111"/>
      <c r="V51" s="120"/>
      <c r="W51" s="111"/>
      <c r="X51" s="111"/>
      <c r="Y51" s="329"/>
      <c r="Z51" s="111"/>
      <c r="AA51" s="111"/>
      <c r="AB51" s="111"/>
      <c r="AC51" s="111"/>
      <c r="AD51" s="111"/>
      <c r="AE51" s="111"/>
      <c r="AF51" s="111"/>
      <c r="AG51" s="111"/>
      <c r="AH51" s="111"/>
      <c r="AI51" s="330"/>
      <c r="AJ51" s="25"/>
      <c r="AK51" s="331"/>
      <c r="AL51" s="25"/>
    </row>
    <row r="52" spans="1:38" x14ac:dyDescent="0.25">
      <c r="A52" s="332" t="s">
        <v>138</v>
      </c>
      <c r="B52" s="333"/>
      <c r="C52" s="333"/>
      <c r="D52" s="333"/>
      <c r="E52" s="333"/>
      <c r="F52" s="333"/>
      <c r="G52" s="333"/>
      <c r="H52" s="333"/>
      <c r="I52" s="333"/>
      <c r="J52" s="333"/>
      <c r="K52" s="333"/>
      <c r="L52" s="333"/>
      <c r="M52" s="333"/>
      <c r="N52" s="333"/>
      <c r="O52" s="333"/>
      <c r="P52" s="333"/>
      <c r="Q52" s="333"/>
      <c r="R52" s="333"/>
      <c r="S52" s="333"/>
      <c r="T52" s="333"/>
      <c r="U52" s="333"/>
      <c r="V52" s="333"/>
      <c r="W52" s="334"/>
      <c r="X52" s="334"/>
      <c r="Y52" s="330"/>
      <c r="Z52" s="25"/>
      <c r="AA52" s="25"/>
      <c r="AB52" s="25"/>
      <c r="AC52" s="25"/>
      <c r="AD52" s="25"/>
      <c r="AE52" s="25"/>
      <c r="AF52" s="25"/>
      <c r="AG52" s="25"/>
      <c r="AH52" s="25"/>
      <c r="AI52" s="330"/>
      <c r="AJ52" s="25"/>
      <c r="AK52" s="331"/>
      <c r="AL52" s="25"/>
    </row>
    <row r="53" spans="1:38" x14ac:dyDescent="0.25">
      <c r="A53" s="332"/>
      <c r="B53" s="333"/>
      <c r="C53" s="333"/>
      <c r="D53" s="333"/>
      <c r="E53" s="333"/>
      <c r="F53" s="333"/>
      <c r="G53" s="333"/>
      <c r="H53" s="333"/>
      <c r="I53" s="333"/>
      <c r="J53" s="333"/>
      <c r="K53" s="333"/>
      <c r="L53" s="333"/>
      <c r="M53" s="333"/>
      <c r="N53" s="333"/>
      <c r="O53" s="333"/>
      <c r="P53" s="333"/>
      <c r="Q53" s="333"/>
      <c r="R53" s="333"/>
      <c r="S53" s="333"/>
      <c r="T53" s="333"/>
      <c r="U53" s="333"/>
      <c r="V53" s="333"/>
      <c r="W53" s="334"/>
      <c r="X53" s="334"/>
      <c r="Y53" s="330"/>
      <c r="Z53" s="25"/>
      <c r="AA53" s="25"/>
      <c r="AB53" s="25"/>
      <c r="AC53" s="25"/>
      <c r="AD53" s="25"/>
      <c r="AE53" s="25"/>
      <c r="AF53" s="25"/>
      <c r="AG53" s="25"/>
      <c r="AH53" s="25"/>
      <c r="AI53" s="330"/>
      <c r="AJ53" s="25"/>
      <c r="AK53" s="331"/>
      <c r="AL53" s="25"/>
    </row>
    <row r="54" spans="1:38" x14ac:dyDescent="0.25">
      <c r="A54" s="332" t="s">
        <v>139</v>
      </c>
      <c r="B54" s="333"/>
      <c r="C54" s="333"/>
      <c r="D54" s="333"/>
      <c r="E54" s="333"/>
      <c r="F54" s="333"/>
      <c r="G54" s="333"/>
      <c r="H54" s="333"/>
      <c r="I54" s="333"/>
      <c r="J54" s="333"/>
      <c r="K54" s="333"/>
      <c r="L54" s="333"/>
      <c r="M54" s="333"/>
      <c r="N54" s="333"/>
      <c r="O54" s="333"/>
      <c r="P54" s="333"/>
      <c r="Q54" s="333"/>
      <c r="R54" s="333"/>
      <c r="S54" s="333"/>
      <c r="T54" s="333"/>
      <c r="U54" s="333"/>
      <c r="V54" s="333"/>
      <c r="W54" s="334"/>
      <c r="X54" s="334"/>
      <c r="Y54" s="330"/>
      <c r="Z54" s="25"/>
      <c r="AA54" s="25"/>
      <c r="AB54" s="25"/>
      <c r="AC54" s="25"/>
      <c r="AD54" s="25"/>
      <c r="AE54" s="25"/>
      <c r="AF54" s="25"/>
      <c r="AG54" s="25"/>
      <c r="AH54" s="25"/>
      <c r="AI54" s="330"/>
      <c r="AJ54" s="25"/>
      <c r="AK54" s="331"/>
      <c r="AL54" s="25"/>
    </row>
    <row r="55" spans="1:38" x14ac:dyDescent="0.25">
      <c r="A55" s="332" t="s">
        <v>140</v>
      </c>
      <c r="B55" s="333"/>
      <c r="C55" s="333"/>
      <c r="D55" s="333"/>
      <c r="E55" s="333"/>
      <c r="F55" s="333"/>
      <c r="G55" s="333"/>
      <c r="H55" s="333"/>
      <c r="I55" s="333"/>
      <c r="J55" s="333"/>
      <c r="K55" s="333"/>
      <c r="L55" s="333"/>
      <c r="M55" s="333"/>
      <c r="N55" s="333"/>
      <c r="O55" s="333"/>
      <c r="P55" s="333"/>
      <c r="Q55" s="333"/>
      <c r="R55" s="333"/>
      <c r="S55" s="333"/>
      <c r="T55" s="333"/>
      <c r="U55" s="333"/>
      <c r="V55" s="333"/>
      <c r="W55" s="335"/>
      <c r="X55" s="335"/>
      <c r="Y55" s="330"/>
      <c r="Z55" s="25"/>
      <c r="AA55" s="25"/>
      <c r="AB55" s="25"/>
      <c r="AC55" s="25"/>
      <c r="AD55" s="25"/>
      <c r="AE55" s="25"/>
      <c r="AF55" s="25"/>
      <c r="AG55" s="25"/>
      <c r="AH55" s="25"/>
      <c r="AI55" s="330"/>
      <c r="AJ55" s="25"/>
      <c r="AK55" s="331"/>
      <c r="AL55" s="25"/>
    </row>
    <row r="56" spans="1:38" x14ac:dyDescent="0.25">
      <c r="A56" s="332" t="s">
        <v>141</v>
      </c>
      <c r="B56" s="333"/>
      <c r="C56" s="333"/>
      <c r="D56" s="333"/>
      <c r="E56" s="333"/>
      <c r="F56" s="333"/>
      <c r="G56" s="333"/>
      <c r="H56" s="333"/>
      <c r="I56" s="333"/>
      <c r="J56" s="333"/>
      <c r="K56" s="333"/>
      <c r="L56" s="333"/>
      <c r="M56" s="333"/>
      <c r="N56" s="333"/>
      <c r="O56" s="333"/>
      <c r="P56" s="333"/>
      <c r="Q56" s="333"/>
      <c r="R56" s="333"/>
      <c r="S56" s="333"/>
      <c r="T56" s="333"/>
      <c r="U56" s="333"/>
      <c r="V56" s="336"/>
      <c r="W56" s="334"/>
      <c r="X56" s="334"/>
      <c r="Y56" s="330"/>
      <c r="Z56" s="25"/>
      <c r="AA56" s="25"/>
      <c r="AB56" s="25"/>
      <c r="AC56" s="25"/>
      <c r="AD56" s="25"/>
      <c r="AE56" s="25"/>
      <c r="AF56" s="25"/>
      <c r="AG56" s="25"/>
      <c r="AH56" s="25"/>
      <c r="AI56" s="337"/>
      <c r="AJ56" s="338"/>
      <c r="AK56" s="331"/>
      <c r="AL56" s="25"/>
    </row>
    <row r="57" spans="1:38" x14ac:dyDescent="0.25">
      <c r="A57" s="332" t="s">
        <v>142</v>
      </c>
      <c r="B57" s="333"/>
      <c r="C57" s="333"/>
      <c r="D57" s="333"/>
      <c r="E57" s="333"/>
      <c r="F57" s="333"/>
      <c r="G57" s="333"/>
      <c r="H57" s="333"/>
      <c r="I57" s="333"/>
      <c r="J57" s="333"/>
      <c r="K57" s="333"/>
      <c r="L57" s="333"/>
      <c r="M57" s="333"/>
      <c r="N57" s="333"/>
      <c r="O57" s="333"/>
      <c r="P57" s="333"/>
      <c r="Q57" s="333"/>
      <c r="R57" s="333"/>
      <c r="S57" s="333"/>
      <c r="T57" s="333"/>
      <c r="U57" s="333"/>
      <c r="V57" s="336"/>
      <c r="W57" s="334"/>
      <c r="X57" s="334"/>
      <c r="Y57" s="330"/>
      <c r="Z57" s="25"/>
      <c r="AA57" s="25"/>
      <c r="AB57" s="25"/>
      <c r="AC57" s="25"/>
      <c r="AD57" s="25"/>
      <c r="AE57" s="25"/>
      <c r="AF57" s="25"/>
      <c r="AG57" s="25"/>
      <c r="AH57" s="25"/>
      <c r="AI57" s="337"/>
      <c r="AJ57" s="338"/>
      <c r="AK57" s="331"/>
      <c r="AL57" s="25"/>
    </row>
    <row r="58" spans="1:38" x14ac:dyDescent="0.25">
      <c r="A58" s="332" t="s">
        <v>143</v>
      </c>
      <c r="B58" s="333"/>
      <c r="C58" s="333"/>
      <c r="D58" s="333"/>
      <c r="E58" s="333"/>
      <c r="F58" s="333"/>
      <c r="G58" s="333"/>
      <c r="H58" s="333"/>
      <c r="I58" s="333"/>
      <c r="J58" s="333"/>
      <c r="K58" s="333"/>
      <c r="L58" s="333"/>
      <c r="M58" s="333"/>
      <c r="N58" s="333"/>
      <c r="O58" s="333"/>
      <c r="P58" s="333"/>
      <c r="Q58" s="333"/>
      <c r="R58" s="333"/>
      <c r="S58" s="333"/>
      <c r="T58" s="333"/>
      <c r="U58" s="333"/>
      <c r="V58" s="336"/>
      <c r="W58" s="334"/>
      <c r="X58" s="334"/>
      <c r="Y58" s="330"/>
      <c r="Z58" s="25"/>
      <c r="AA58" s="25"/>
      <c r="AB58" s="25"/>
      <c r="AC58" s="25"/>
      <c r="AD58" s="25"/>
      <c r="AE58" s="25"/>
      <c r="AF58" s="25"/>
      <c r="AG58" s="25"/>
      <c r="AH58" s="25"/>
      <c r="AI58" s="337"/>
      <c r="AJ58" s="338"/>
      <c r="AK58" s="331"/>
      <c r="AL58" s="25"/>
    </row>
    <row r="59" spans="1:38" x14ac:dyDescent="0.25">
      <c r="A59" s="332" t="s">
        <v>144</v>
      </c>
      <c r="B59" s="333"/>
      <c r="C59" s="333"/>
      <c r="D59" s="333"/>
      <c r="E59" s="333"/>
      <c r="F59" s="333"/>
      <c r="G59" s="333"/>
      <c r="H59" s="333"/>
      <c r="I59" s="333"/>
      <c r="J59" s="333"/>
      <c r="K59" s="333"/>
      <c r="L59" s="333"/>
      <c r="M59" s="333"/>
      <c r="N59" s="333"/>
      <c r="O59" s="333"/>
      <c r="P59" s="333"/>
      <c r="Q59" s="333"/>
      <c r="R59" s="333"/>
      <c r="S59" s="333"/>
      <c r="T59" s="333"/>
      <c r="U59" s="333"/>
      <c r="V59" s="336"/>
      <c r="W59" s="334"/>
      <c r="X59" s="334"/>
      <c r="Y59" s="330"/>
      <c r="Z59" s="25"/>
      <c r="AA59" s="25"/>
      <c r="AB59" s="25"/>
      <c r="AC59" s="25"/>
      <c r="AD59" s="25"/>
      <c r="AE59" s="25"/>
      <c r="AF59" s="25"/>
      <c r="AG59" s="25"/>
      <c r="AH59" s="25"/>
      <c r="AI59" s="337"/>
      <c r="AJ59" s="338"/>
      <c r="AK59" s="331"/>
      <c r="AL59" s="25"/>
    </row>
    <row r="60" spans="1:38" x14ac:dyDescent="0.25">
      <c r="A60" s="339" t="s">
        <v>145</v>
      </c>
      <c r="B60" s="158"/>
      <c r="C60" s="158"/>
      <c r="D60" s="158"/>
      <c r="E60" s="158"/>
      <c r="F60" s="158"/>
      <c r="G60" s="158"/>
      <c r="H60" s="158"/>
      <c r="I60" s="158"/>
      <c r="J60" s="158"/>
      <c r="K60" s="158"/>
      <c r="L60" s="158"/>
      <c r="M60" s="158"/>
      <c r="N60" s="158"/>
      <c r="O60" s="158"/>
      <c r="P60" s="158"/>
      <c r="Q60" s="158"/>
      <c r="R60" s="158"/>
      <c r="S60" s="158"/>
      <c r="T60" s="158"/>
      <c r="U60" s="158"/>
      <c r="V60" s="336"/>
      <c r="W60" s="335"/>
      <c r="X60" s="335"/>
      <c r="Y60" s="330"/>
      <c r="Z60" s="25"/>
      <c r="AA60" s="25"/>
      <c r="AB60" s="25"/>
      <c r="AC60" s="25"/>
      <c r="AD60" s="25"/>
      <c r="AE60" s="25"/>
      <c r="AF60" s="25"/>
      <c r="AG60" s="25"/>
      <c r="AH60" s="25"/>
      <c r="AI60" s="337"/>
      <c r="AJ60" s="338"/>
      <c r="AK60" s="331"/>
      <c r="AL60" s="25"/>
    </row>
    <row r="61" spans="1:38" x14ac:dyDescent="0.25">
      <c r="A61" s="339" t="s">
        <v>146</v>
      </c>
      <c r="B61" s="158"/>
      <c r="C61" s="158"/>
      <c r="D61" s="158"/>
      <c r="E61" s="158"/>
      <c r="F61" s="158"/>
      <c r="G61" s="158"/>
      <c r="H61" s="158"/>
      <c r="I61" s="158"/>
      <c r="J61" s="158"/>
      <c r="K61" s="158"/>
      <c r="L61" s="158"/>
      <c r="M61" s="158"/>
      <c r="N61" s="158"/>
      <c r="O61" s="158"/>
      <c r="P61" s="158"/>
      <c r="Q61" s="158"/>
      <c r="R61" s="158"/>
      <c r="S61" s="158"/>
      <c r="T61" s="158"/>
      <c r="U61" s="158"/>
      <c r="V61" s="336"/>
      <c r="W61" s="335"/>
      <c r="X61" s="335"/>
      <c r="Y61" s="330"/>
      <c r="Z61" s="25"/>
      <c r="AA61" s="25"/>
      <c r="AB61" s="25"/>
      <c r="AC61" s="25"/>
      <c r="AD61" s="25"/>
      <c r="AE61" s="25"/>
      <c r="AF61" s="25"/>
      <c r="AG61" s="25"/>
      <c r="AH61" s="25"/>
      <c r="AI61" s="337"/>
      <c r="AJ61" s="338"/>
      <c r="AK61" s="331"/>
      <c r="AL61" s="25"/>
    </row>
    <row r="62" ht="13.9" customHeight="1" spans="1:38" x14ac:dyDescent="0.25">
      <c r="A62" s="339" t="s">
        <v>147</v>
      </c>
      <c r="B62" s="158"/>
      <c r="C62" s="158"/>
      <c r="D62" s="158"/>
      <c r="E62" s="158"/>
      <c r="F62" s="158"/>
      <c r="G62" s="158"/>
      <c r="H62" s="158"/>
      <c r="I62" s="158"/>
      <c r="J62" s="158"/>
      <c r="K62" s="158"/>
      <c r="L62" s="158"/>
      <c r="M62" s="158"/>
      <c r="N62" s="158"/>
      <c r="O62" s="158"/>
      <c r="P62" s="158"/>
      <c r="Q62" s="158"/>
      <c r="R62" s="158"/>
      <c r="S62" s="158"/>
      <c r="T62" s="158"/>
      <c r="U62" s="158"/>
      <c r="V62" s="336"/>
      <c r="W62" s="335"/>
      <c r="X62" s="335"/>
      <c r="Y62" s="330"/>
      <c r="Z62" s="25"/>
      <c r="AA62" s="25"/>
      <c r="AB62" s="25"/>
      <c r="AC62" s="25"/>
      <c r="AD62" s="25"/>
      <c r="AE62" s="25"/>
      <c r="AF62" s="25"/>
      <c r="AG62" s="25"/>
      <c r="AH62" s="25"/>
      <c r="AI62" s="340" t="s">
        <v>148</v>
      </c>
      <c r="AJ62" s="338"/>
      <c r="AK62" s="331"/>
      <c r="AL62" s="25"/>
    </row>
    <row r="63" ht="11.45" customHeight="1" spans="1:38" x14ac:dyDescent="0.25">
      <c r="A63" s="339" t="s">
        <v>149</v>
      </c>
      <c r="B63" s="158"/>
      <c r="C63" s="158"/>
      <c r="D63" s="158"/>
      <c r="E63" s="158"/>
      <c r="F63" s="158"/>
      <c r="G63" s="158"/>
      <c r="H63" s="158"/>
      <c r="I63" s="158"/>
      <c r="J63" s="158"/>
      <c r="K63" s="158"/>
      <c r="L63" s="158"/>
      <c r="M63" s="158"/>
      <c r="N63" s="158"/>
      <c r="O63" s="158"/>
      <c r="P63" s="158"/>
      <c r="Q63" s="158"/>
      <c r="R63" s="158"/>
      <c r="S63" s="158"/>
      <c r="T63" s="158"/>
      <c r="U63" s="158"/>
      <c r="V63" s="158"/>
      <c r="W63" s="341"/>
      <c r="X63" s="335"/>
      <c r="Y63" s="330"/>
      <c r="Z63" s="25"/>
      <c r="AA63" s="25"/>
      <c r="AB63" s="25"/>
      <c r="AC63" s="25"/>
      <c r="AD63" s="25"/>
      <c r="AE63" s="25"/>
      <c r="AF63" s="25"/>
      <c r="AG63" s="25"/>
      <c r="AH63" s="25"/>
      <c r="AI63" s="340"/>
      <c r="AJ63" s="338"/>
      <c r="AK63" s="331"/>
      <c r="AL63" s="25"/>
    </row>
    <row r="64" spans="1:38" x14ac:dyDescent="0.25">
      <c r="A64" s="339" t="s">
        <v>150</v>
      </c>
      <c r="B64" s="158"/>
      <c r="C64" s="158"/>
      <c r="D64" s="158"/>
      <c r="E64" s="158"/>
      <c r="F64" s="158"/>
      <c r="G64" s="158"/>
      <c r="H64" s="158"/>
      <c r="I64" s="158"/>
      <c r="J64" s="158"/>
      <c r="K64" s="158"/>
      <c r="L64" s="158"/>
      <c r="M64" s="158"/>
      <c r="N64" s="158"/>
      <c r="O64" s="158"/>
      <c r="P64" s="158"/>
      <c r="Q64" s="158"/>
      <c r="R64" s="158"/>
      <c r="S64" s="158"/>
      <c r="T64" s="158"/>
      <c r="U64" s="158"/>
      <c r="V64" s="158"/>
      <c r="W64" s="335"/>
      <c r="X64" s="335"/>
      <c r="Y64" s="330"/>
      <c r="Z64" s="25"/>
      <c r="AA64" s="25"/>
      <c r="AB64" s="25"/>
      <c r="AC64" s="25"/>
      <c r="AD64" s="25"/>
      <c r="AE64" s="25"/>
      <c r="AF64" s="25"/>
      <c r="AG64" s="25"/>
      <c r="AH64" s="25"/>
      <c r="AI64" s="340"/>
      <c r="AJ64" s="338"/>
      <c r="AK64" s="331"/>
      <c r="AL64" s="25"/>
    </row>
    <row r="65" ht="18.6" customHeight="1" spans="1:38" x14ac:dyDescent="0.25">
      <c r="A65" s="332" t="s">
        <v>151</v>
      </c>
      <c r="B65" s="333"/>
      <c r="C65" s="333"/>
      <c r="D65" s="333"/>
      <c r="E65" s="333"/>
      <c r="F65" s="333"/>
      <c r="G65" s="333"/>
      <c r="H65" s="333"/>
      <c r="I65" s="333"/>
      <c r="J65" s="333"/>
      <c r="K65" s="333"/>
      <c r="L65" s="333"/>
      <c r="M65" s="333"/>
      <c r="N65" s="333"/>
      <c r="O65" s="333"/>
      <c r="P65" s="333"/>
      <c r="Q65" s="333"/>
      <c r="R65" s="333"/>
      <c r="S65" s="333"/>
      <c r="T65" s="333"/>
      <c r="U65" s="333"/>
      <c r="V65" s="333"/>
      <c r="W65" s="335"/>
      <c r="X65" s="335"/>
      <c r="Y65" s="330"/>
      <c r="Z65" s="25"/>
      <c r="AA65" s="25"/>
      <c r="AB65" s="25"/>
      <c r="AC65" s="25"/>
      <c r="AD65" s="25"/>
      <c r="AE65" s="25"/>
      <c r="AF65" s="25"/>
      <c r="AG65" s="25"/>
      <c r="AH65" s="25"/>
      <c r="AI65" s="340"/>
      <c r="AJ65" s="338"/>
      <c r="AK65" s="331"/>
      <c r="AL65" s="25"/>
    </row>
    <row r="66" ht="18.6" customHeight="1" spans="1:38" x14ac:dyDescent="0.25">
      <c r="A66" s="332" t="s">
        <v>152</v>
      </c>
      <c r="B66" s="333"/>
      <c r="C66" s="333"/>
      <c r="D66" s="333"/>
      <c r="E66" s="333"/>
      <c r="F66" s="333"/>
      <c r="G66" s="333"/>
      <c r="H66" s="333"/>
      <c r="I66" s="333"/>
      <c r="J66" s="333"/>
      <c r="K66" s="333"/>
      <c r="L66" s="333"/>
      <c r="M66" s="333"/>
      <c r="N66" s="333"/>
      <c r="O66" s="333"/>
      <c r="P66" s="333"/>
      <c r="Q66" s="333"/>
      <c r="R66" s="333"/>
      <c r="S66" s="333"/>
      <c r="T66" s="333"/>
      <c r="U66" s="333"/>
      <c r="V66" s="333"/>
      <c r="W66" s="335"/>
      <c r="X66" s="335"/>
      <c r="Y66" s="330"/>
      <c r="Z66" s="25"/>
      <c r="AA66" s="25"/>
      <c r="AB66" s="25"/>
      <c r="AC66" s="25"/>
      <c r="AD66" s="25"/>
      <c r="AE66" s="25"/>
      <c r="AF66" s="25"/>
      <c r="AG66" s="25"/>
      <c r="AH66" s="25"/>
      <c r="AI66" s="340"/>
      <c r="AJ66" s="338"/>
      <c r="AK66" s="331"/>
      <c r="AL66" s="25"/>
    </row>
    <row r="67" spans="1:38" x14ac:dyDescent="0.25">
      <c r="A67" s="339" t="s">
        <v>153</v>
      </c>
      <c r="B67" s="158"/>
      <c r="C67" s="158"/>
      <c r="D67" s="158"/>
      <c r="E67" s="158"/>
      <c r="F67" s="158"/>
      <c r="G67" s="158"/>
      <c r="H67" s="158"/>
      <c r="I67" s="158"/>
      <c r="J67" s="158"/>
      <c r="K67" s="158"/>
      <c r="L67" s="158"/>
      <c r="M67" s="158"/>
      <c r="N67" s="158"/>
      <c r="O67" s="158"/>
      <c r="P67" s="158"/>
      <c r="Q67" s="158"/>
      <c r="R67" s="158"/>
      <c r="S67" s="158"/>
      <c r="T67" s="158"/>
      <c r="U67" s="158"/>
      <c r="V67" s="336"/>
      <c r="W67" s="335"/>
      <c r="X67" s="335"/>
      <c r="Y67" s="330"/>
      <c r="Z67" s="25"/>
      <c r="AA67" s="25"/>
      <c r="AB67" s="25"/>
      <c r="AC67" s="25"/>
      <c r="AD67" s="25"/>
      <c r="AE67" s="25"/>
      <c r="AF67" s="25"/>
      <c r="AG67" s="25"/>
      <c r="AH67" s="25"/>
      <c r="AI67" s="340"/>
      <c r="AJ67" s="338"/>
      <c r="AK67" s="331"/>
      <c r="AL67" s="25"/>
    </row>
    <row r="68" spans="1:38" x14ac:dyDescent="0.25">
      <c r="A68" s="332" t="s">
        <v>154</v>
      </c>
      <c r="B68" s="333"/>
      <c r="C68" s="333"/>
      <c r="D68" s="333"/>
      <c r="E68" s="333"/>
      <c r="F68" s="333"/>
      <c r="G68" s="333"/>
      <c r="H68" s="333"/>
      <c r="I68" s="333"/>
      <c r="J68" s="333"/>
      <c r="K68" s="333"/>
      <c r="L68" s="333"/>
      <c r="M68" s="333"/>
      <c r="N68" s="333"/>
      <c r="O68" s="333"/>
      <c r="P68" s="333"/>
      <c r="Q68" s="333"/>
      <c r="R68" s="333"/>
      <c r="S68" s="333"/>
      <c r="T68" s="333"/>
      <c r="U68" s="333"/>
      <c r="V68" s="333"/>
      <c r="W68" s="335"/>
      <c r="X68" s="335"/>
      <c r="Y68" s="330"/>
      <c r="Z68" s="25"/>
      <c r="AA68" s="25"/>
      <c r="AB68" s="25"/>
      <c r="AC68" s="25"/>
      <c r="AD68" s="25"/>
      <c r="AE68" s="25"/>
      <c r="AF68" s="25"/>
      <c r="AG68" s="25"/>
      <c r="AH68" s="25"/>
      <c r="AI68" s="340"/>
      <c r="AJ68" s="338"/>
      <c r="AK68" s="331"/>
      <c r="AL68" s="25"/>
    </row>
    <row r="69" spans="1:38" x14ac:dyDescent="0.25">
      <c r="A69" s="332" t="s">
        <v>155</v>
      </c>
      <c r="B69" s="333"/>
      <c r="C69" s="333"/>
      <c r="D69" s="333"/>
      <c r="E69" s="333"/>
      <c r="F69" s="333"/>
      <c r="G69" s="333"/>
      <c r="H69" s="333"/>
      <c r="I69" s="333"/>
      <c r="J69" s="333"/>
      <c r="K69" s="333"/>
      <c r="L69" s="333"/>
      <c r="M69" s="333"/>
      <c r="N69" s="333"/>
      <c r="O69" s="333"/>
      <c r="P69" s="333"/>
      <c r="Q69" s="333"/>
      <c r="R69" s="333"/>
      <c r="S69" s="333"/>
      <c r="T69" s="333"/>
      <c r="U69" s="333"/>
      <c r="V69" s="333"/>
      <c r="W69" s="335"/>
      <c r="X69" s="335"/>
      <c r="Y69" s="330"/>
      <c r="Z69" s="25"/>
      <c r="AA69" s="25"/>
      <c r="AB69" s="25"/>
      <c r="AC69" s="25"/>
      <c r="AD69" s="25"/>
      <c r="AE69" s="25"/>
      <c r="AF69" s="25"/>
      <c r="AG69" s="25"/>
      <c r="AH69" s="25"/>
      <c r="AI69" s="340"/>
      <c r="AJ69" s="338"/>
      <c r="AK69" s="331"/>
      <c r="AL69" s="25"/>
    </row>
    <row r="70" spans="1:38" x14ac:dyDescent="0.25">
      <c r="A70" s="332"/>
      <c r="B70" s="333"/>
      <c r="C70" s="333"/>
      <c r="D70" s="333"/>
      <c r="E70" s="333"/>
      <c r="F70" s="333"/>
      <c r="G70" s="333"/>
      <c r="H70" s="333"/>
      <c r="I70" s="333"/>
      <c r="J70" s="333"/>
      <c r="K70" s="333"/>
      <c r="L70" s="333"/>
      <c r="M70" s="333"/>
      <c r="N70" s="333"/>
      <c r="O70" s="333"/>
      <c r="P70" s="333"/>
      <c r="Q70" s="333"/>
      <c r="R70" s="333"/>
      <c r="S70" s="333"/>
      <c r="T70" s="333"/>
      <c r="U70" s="333"/>
      <c r="V70" s="333"/>
      <c r="W70" s="335"/>
      <c r="X70" s="335"/>
      <c r="Y70" s="330"/>
      <c r="Z70" s="25"/>
      <c r="AA70" s="25"/>
      <c r="AB70" s="25"/>
      <c r="AC70" s="25"/>
      <c r="AD70" s="25"/>
      <c r="AE70" s="25"/>
      <c r="AF70" s="25"/>
      <c r="AG70" s="25"/>
      <c r="AH70" s="25"/>
      <c r="AI70" s="340"/>
      <c r="AJ70" s="338"/>
      <c r="AK70" s="331"/>
      <c r="AL70" s="25"/>
    </row>
    <row r="71" spans="1:38" x14ac:dyDescent="0.25">
      <c r="A71" s="332" t="s">
        <v>156</v>
      </c>
      <c r="B71" s="333"/>
      <c r="C71" s="333"/>
      <c r="D71" s="333"/>
      <c r="E71" s="333"/>
      <c r="F71" s="333"/>
      <c r="G71" s="333"/>
      <c r="H71" s="333"/>
      <c r="I71" s="333"/>
      <c r="J71" s="333"/>
      <c r="K71" s="333"/>
      <c r="L71" s="333"/>
      <c r="M71" s="333"/>
      <c r="N71" s="333"/>
      <c r="O71" s="333"/>
      <c r="P71" s="333"/>
      <c r="Q71" s="333"/>
      <c r="R71" s="333"/>
      <c r="S71" s="333"/>
      <c r="T71" s="333"/>
      <c r="U71" s="333"/>
      <c r="V71" s="333"/>
      <c r="W71" s="342"/>
      <c r="X71" s="335"/>
      <c r="Y71" s="330"/>
      <c r="Z71" s="25"/>
      <c r="AA71" s="25"/>
      <c r="AB71" s="25"/>
      <c r="AC71" s="25"/>
      <c r="AD71" s="25"/>
      <c r="AE71" s="25"/>
      <c r="AF71" s="25"/>
      <c r="AG71" s="25"/>
      <c r="AH71" s="25"/>
      <c r="AI71" s="340"/>
      <c r="AJ71" s="338"/>
      <c r="AK71" s="331"/>
      <c r="AL71" s="25"/>
    </row>
    <row r="72" ht="13.5" customHeight="1" spans="1:38" x14ac:dyDescent="0.25">
      <c r="A72" s="332"/>
      <c r="B72" s="333"/>
      <c r="C72" s="333"/>
      <c r="D72" s="333"/>
      <c r="E72" s="333"/>
      <c r="F72" s="333"/>
      <c r="G72" s="333"/>
      <c r="H72" s="333"/>
      <c r="I72" s="333"/>
      <c r="J72" s="333"/>
      <c r="K72" s="333"/>
      <c r="L72" s="333"/>
      <c r="M72" s="333"/>
      <c r="N72" s="333"/>
      <c r="O72" s="333"/>
      <c r="P72" s="333"/>
      <c r="Q72" s="333"/>
      <c r="R72" s="333"/>
      <c r="S72" s="333"/>
      <c r="T72" s="333"/>
      <c r="U72" s="333"/>
      <c r="V72" s="333"/>
      <c r="W72" s="335"/>
      <c r="X72" s="335"/>
      <c r="Y72" s="330"/>
      <c r="Z72" s="25"/>
      <c r="AA72" s="25"/>
      <c r="AB72" s="25"/>
      <c r="AC72" s="25"/>
      <c r="AD72" s="25"/>
      <c r="AE72" s="25"/>
      <c r="AF72" s="25"/>
      <c r="AG72" s="25"/>
      <c r="AH72" s="25"/>
      <c r="AI72" s="343"/>
      <c r="AJ72" s="344"/>
      <c r="AK72" s="345"/>
      <c r="AL72" s="25"/>
    </row>
    <row r="73" spans="1:38" x14ac:dyDescent="0.25">
      <c r="A73" s="332"/>
      <c r="B73" s="333"/>
      <c r="C73" s="333"/>
      <c r="D73" s="333"/>
      <c r="E73" s="333"/>
      <c r="F73" s="333"/>
      <c r="G73" s="333"/>
      <c r="H73" s="333"/>
      <c r="I73" s="333"/>
      <c r="J73" s="333"/>
      <c r="K73" s="333"/>
      <c r="L73" s="333"/>
      <c r="M73" s="333"/>
      <c r="N73" s="333"/>
      <c r="O73" s="333"/>
      <c r="P73" s="333"/>
      <c r="Q73" s="333"/>
      <c r="R73" s="333"/>
      <c r="S73" s="333"/>
      <c r="T73" s="333"/>
      <c r="U73" s="333"/>
      <c r="V73" s="333"/>
      <c r="W73" s="335"/>
      <c r="X73" s="335"/>
      <c r="Y73" s="330"/>
      <c r="Z73" s="25"/>
      <c r="AA73" s="25"/>
      <c r="AB73" s="25"/>
      <c r="AC73" s="25"/>
      <c r="AD73" s="25"/>
      <c r="AE73" s="25"/>
      <c r="AF73" s="25"/>
      <c r="AG73" s="25"/>
      <c r="AH73" s="25"/>
      <c r="AI73" s="346"/>
      <c r="AJ73" s="347"/>
      <c r="AK73" s="348"/>
      <c r="AL73" s="25"/>
    </row>
    <row r="74" spans="1:38" x14ac:dyDescent="0.25">
      <c r="A74" s="332" t="s">
        <v>157</v>
      </c>
      <c r="B74" s="333"/>
      <c r="C74" s="333"/>
      <c r="D74" s="333"/>
      <c r="E74" s="333"/>
      <c r="F74" s="333"/>
      <c r="G74" s="333"/>
      <c r="H74" s="333"/>
      <c r="I74" s="333"/>
      <c r="J74" s="333"/>
      <c r="K74" s="333"/>
      <c r="L74" s="333"/>
      <c r="M74" s="333"/>
      <c r="N74" s="333"/>
      <c r="O74" s="333"/>
      <c r="P74" s="333"/>
      <c r="Q74" s="333"/>
      <c r="R74" s="333"/>
      <c r="S74" s="333"/>
      <c r="T74" s="333"/>
      <c r="U74" s="333"/>
      <c r="V74" s="333"/>
      <c r="W74" s="335"/>
      <c r="X74" s="335"/>
      <c r="Y74" s="330"/>
      <c r="Z74" s="25"/>
      <c r="AA74" s="25"/>
      <c r="AB74" s="25"/>
      <c r="AC74" s="25"/>
      <c r="AD74" s="25"/>
      <c r="AE74" s="25"/>
      <c r="AF74" s="25"/>
      <c r="AG74" s="25"/>
      <c r="AH74" s="25"/>
      <c r="AI74" s="337"/>
      <c r="AJ74" s="338"/>
      <c r="AK74" s="331"/>
      <c r="AL74" s="25"/>
    </row>
    <row r="75" spans="1:38" x14ac:dyDescent="0.25">
      <c r="A75" s="332" t="s">
        <v>158</v>
      </c>
      <c r="B75" s="333"/>
      <c r="C75" s="333"/>
      <c r="D75" s="333"/>
      <c r="E75" s="333"/>
      <c r="F75" s="333"/>
      <c r="G75" s="333"/>
      <c r="H75" s="333"/>
      <c r="I75" s="333"/>
      <c r="J75" s="333"/>
      <c r="K75" s="333"/>
      <c r="L75" s="333"/>
      <c r="M75" s="333"/>
      <c r="N75" s="333"/>
      <c r="O75" s="333"/>
      <c r="P75" s="333"/>
      <c r="Q75" s="333"/>
      <c r="R75" s="333"/>
      <c r="S75" s="333"/>
      <c r="T75" s="333"/>
      <c r="U75" s="333"/>
      <c r="V75" s="333"/>
      <c r="W75" s="335"/>
      <c r="X75" s="335"/>
      <c r="Y75" s="330"/>
      <c r="Z75" s="25"/>
      <c r="AA75" s="25"/>
      <c r="AB75" s="25"/>
      <c r="AC75" s="25"/>
      <c r="AD75" s="25"/>
      <c r="AE75" s="25"/>
      <c r="AF75" s="25"/>
      <c r="AG75" s="25"/>
      <c r="AH75" s="25"/>
      <c r="AI75" s="337"/>
      <c r="AJ75" s="25"/>
      <c r="AK75" s="331"/>
      <c r="AL75" s="25"/>
    </row>
    <row r="76" spans="1:38" x14ac:dyDescent="0.25">
      <c r="A76" s="332" t="s">
        <v>159</v>
      </c>
      <c r="B76" s="333"/>
      <c r="C76" s="333"/>
      <c r="D76" s="333"/>
      <c r="E76" s="333"/>
      <c r="F76" s="333"/>
      <c r="G76" s="333"/>
      <c r="H76" s="333"/>
      <c r="I76" s="333"/>
      <c r="J76" s="333"/>
      <c r="K76" s="333"/>
      <c r="L76" s="333"/>
      <c r="M76" s="333"/>
      <c r="N76" s="333"/>
      <c r="O76" s="333"/>
      <c r="P76" s="333"/>
      <c r="Q76" s="333"/>
      <c r="R76" s="333"/>
      <c r="S76" s="333"/>
      <c r="T76" s="333"/>
      <c r="U76" s="333"/>
      <c r="V76" s="333"/>
      <c r="W76" s="335"/>
      <c r="X76" s="335"/>
      <c r="Y76" s="330"/>
      <c r="Z76" s="25"/>
      <c r="AA76" s="25"/>
      <c r="AB76" s="25"/>
      <c r="AC76" s="25"/>
      <c r="AD76" s="25"/>
      <c r="AE76" s="25"/>
      <c r="AF76" s="25"/>
      <c r="AG76" s="25"/>
      <c r="AH76" s="25"/>
      <c r="AI76" s="337"/>
      <c r="AJ76" s="25"/>
      <c r="AK76" s="331"/>
      <c r="AL76" s="25"/>
    </row>
    <row r="77" ht="13.5" customHeight="1" spans="1:38" x14ac:dyDescent="0.25">
      <c r="A77" s="332"/>
      <c r="B77" s="333"/>
      <c r="C77" s="333"/>
      <c r="D77" s="333"/>
      <c r="E77" s="333"/>
      <c r="F77" s="333"/>
      <c r="G77" s="333"/>
      <c r="H77" s="333"/>
      <c r="I77" s="333"/>
      <c r="J77" s="333"/>
      <c r="K77" s="333"/>
      <c r="L77" s="333"/>
      <c r="M77" s="333"/>
      <c r="N77" s="333"/>
      <c r="O77" s="333"/>
      <c r="P77" s="333"/>
      <c r="Q77" s="333"/>
      <c r="R77" s="333"/>
      <c r="S77" s="333"/>
      <c r="T77" s="333"/>
      <c r="U77" s="333"/>
      <c r="V77" s="333"/>
      <c r="W77" s="335"/>
      <c r="X77" s="335"/>
      <c r="Y77" s="330"/>
      <c r="Z77" s="25"/>
      <c r="AA77" s="25"/>
      <c r="AB77" s="25"/>
      <c r="AC77" s="25"/>
      <c r="AD77" s="25"/>
      <c r="AE77" s="25"/>
      <c r="AF77" s="25"/>
      <c r="AG77" s="25"/>
      <c r="AH77" s="25"/>
      <c r="AI77" s="337"/>
      <c r="AJ77" s="25"/>
      <c r="AK77" s="331"/>
      <c r="AL77" s="25"/>
    </row>
    <row r="78" spans="1:38" x14ac:dyDescent="0.25">
      <c r="A78" s="332" t="s">
        <v>160</v>
      </c>
      <c r="B78" s="333"/>
      <c r="C78" s="333"/>
      <c r="D78" s="333"/>
      <c r="E78" s="333"/>
      <c r="F78" s="333"/>
      <c r="G78" s="333"/>
      <c r="H78" s="333"/>
      <c r="I78" s="333"/>
      <c r="J78" s="333"/>
      <c r="K78" s="333"/>
      <c r="L78" s="333"/>
      <c r="M78" s="333"/>
      <c r="N78" s="333"/>
      <c r="O78" s="333"/>
      <c r="P78" s="333"/>
      <c r="Q78" s="333"/>
      <c r="R78" s="333"/>
      <c r="S78" s="333"/>
      <c r="T78" s="333"/>
      <c r="U78" s="333"/>
      <c r="V78" s="333"/>
      <c r="W78" s="349"/>
      <c r="X78" s="350"/>
      <c r="Y78" s="325"/>
      <c r="Z78" s="325"/>
      <c r="AA78" s="325"/>
      <c r="AB78" s="325"/>
      <c r="AC78" s="325"/>
      <c r="AD78" s="325"/>
      <c r="AE78" s="325"/>
      <c r="AF78" s="325"/>
      <c r="AG78" s="325"/>
      <c r="AH78" s="325"/>
      <c r="AI78" s="330"/>
      <c r="AJ78" s="25"/>
      <c r="AK78" s="331"/>
      <c r="AL78" s="25"/>
    </row>
    <row r="79" spans="1:38" x14ac:dyDescent="0.25">
      <c r="A79" s="332"/>
      <c r="B79" s="333"/>
      <c r="C79" s="333"/>
      <c r="D79" s="333"/>
      <c r="E79" s="333"/>
      <c r="F79" s="333"/>
      <c r="G79" s="333"/>
      <c r="H79" s="333"/>
      <c r="I79" s="333"/>
      <c r="J79" s="333"/>
      <c r="K79" s="333"/>
      <c r="L79" s="333"/>
      <c r="M79" s="333"/>
      <c r="N79" s="333"/>
      <c r="O79" s="333"/>
      <c r="P79" s="333"/>
      <c r="Q79" s="333"/>
      <c r="R79" s="333"/>
      <c r="S79" s="333"/>
      <c r="T79" s="333"/>
      <c r="U79" s="333"/>
      <c r="V79" s="333"/>
      <c r="W79" s="351"/>
      <c r="X79" s="335"/>
      <c r="Y79" s="25"/>
      <c r="Z79" s="25"/>
      <c r="AA79" s="25"/>
      <c r="AB79" s="25"/>
      <c r="AC79" s="25"/>
      <c r="AD79" s="25"/>
      <c r="AE79" s="25"/>
      <c r="AF79" s="25"/>
      <c r="AG79" s="25"/>
      <c r="AH79" s="25"/>
      <c r="AI79" s="330"/>
      <c r="AJ79" s="25"/>
      <c r="AK79" s="331"/>
      <c r="AL79" s="25"/>
    </row>
    <row r="80" spans="1:38" x14ac:dyDescent="0.25">
      <c r="A80" s="332" t="s">
        <v>161</v>
      </c>
      <c r="B80" s="333"/>
      <c r="C80" s="333"/>
      <c r="D80" s="333"/>
      <c r="E80" s="333"/>
      <c r="F80" s="333"/>
      <c r="G80" s="333"/>
      <c r="H80" s="333"/>
      <c r="I80" s="333"/>
      <c r="J80" s="333"/>
      <c r="K80" s="333"/>
      <c r="L80" s="333"/>
      <c r="M80" s="333"/>
      <c r="N80" s="333"/>
      <c r="O80" s="333"/>
      <c r="P80" s="333"/>
      <c r="Q80" s="333"/>
      <c r="R80" s="333"/>
      <c r="S80" s="333"/>
      <c r="T80" s="333"/>
      <c r="U80" s="333"/>
      <c r="V80" s="333"/>
      <c r="W80" s="351"/>
      <c r="X80" s="335"/>
      <c r="Y80" s="25"/>
      <c r="Z80" s="25"/>
      <c r="AA80" s="25"/>
      <c r="AB80" s="25"/>
      <c r="AC80" s="25"/>
      <c r="AD80" s="25"/>
      <c r="AE80" s="25"/>
      <c r="AF80" s="25"/>
      <c r="AG80" s="25"/>
      <c r="AH80" s="25"/>
      <c r="AI80" s="337"/>
      <c r="AJ80" s="352"/>
      <c r="AK80" s="331"/>
      <c r="AL80" s="25"/>
    </row>
    <row r="81" spans="1:38" x14ac:dyDescent="0.25">
      <c r="A81" s="332"/>
      <c r="B81" s="333"/>
      <c r="C81" s="333"/>
      <c r="D81" s="333"/>
      <c r="E81" s="333"/>
      <c r="F81" s="333"/>
      <c r="G81" s="333"/>
      <c r="H81" s="333"/>
      <c r="I81" s="333"/>
      <c r="J81" s="333"/>
      <c r="K81" s="333"/>
      <c r="L81" s="333"/>
      <c r="M81" s="333"/>
      <c r="N81" s="333"/>
      <c r="O81" s="333"/>
      <c r="P81" s="333"/>
      <c r="Q81" s="333"/>
      <c r="R81" s="333"/>
      <c r="S81" s="333"/>
      <c r="T81" s="333"/>
      <c r="U81" s="333"/>
      <c r="V81" s="333"/>
      <c r="W81" s="351"/>
      <c r="X81" s="335"/>
      <c r="Y81" s="25"/>
      <c r="Z81" s="25"/>
      <c r="AA81" s="25"/>
      <c r="AB81" s="25"/>
      <c r="AC81" s="25"/>
      <c r="AD81" s="25"/>
      <c r="AE81" s="25"/>
      <c r="AF81" s="25"/>
      <c r="AG81" s="25"/>
      <c r="AH81" s="25"/>
      <c r="AI81" s="337"/>
      <c r="AJ81" s="352"/>
      <c r="AK81" s="331"/>
      <c r="AL81" s="25"/>
    </row>
    <row r="82" spans="1:38" x14ac:dyDescent="0.25">
      <c r="A82" s="332"/>
      <c r="B82" s="333"/>
      <c r="C82" s="333"/>
      <c r="D82" s="333"/>
      <c r="E82" s="333"/>
      <c r="F82" s="333"/>
      <c r="G82" s="333"/>
      <c r="H82" s="333"/>
      <c r="I82" s="333"/>
      <c r="J82" s="333"/>
      <c r="K82" s="333"/>
      <c r="L82" s="333"/>
      <c r="M82" s="333"/>
      <c r="N82" s="333"/>
      <c r="O82" s="333"/>
      <c r="P82" s="333"/>
      <c r="Q82" s="333"/>
      <c r="R82" s="333"/>
      <c r="S82" s="333"/>
      <c r="T82" s="333"/>
      <c r="U82" s="333"/>
      <c r="V82" s="333"/>
      <c r="W82" s="351"/>
      <c r="X82" s="335"/>
      <c r="Y82" s="25"/>
      <c r="Z82" s="25"/>
      <c r="AA82" s="25"/>
      <c r="AB82" s="25"/>
      <c r="AC82" s="25"/>
      <c r="AD82" s="25"/>
      <c r="AE82" s="25"/>
      <c r="AF82" s="25"/>
      <c r="AG82" s="25"/>
      <c r="AH82" s="25"/>
      <c r="AI82" s="337"/>
      <c r="AJ82" s="352"/>
      <c r="AK82" s="331"/>
      <c r="AL82" s="25"/>
    </row>
    <row r="83" spans="1:38" x14ac:dyDescent="0.25">
      <c r="A83" s="332" t="s">
        <v>162</v>
      </c>
      <c r="B83" s="333"/>
      <c r="C83" s="333"/>
      <c r="D83" s="333"/>
      <c r="E83" s="333"/>
      <c r="F83" s="333"/>
      <c r="G83" s="333"/>
      <c r="H83" s="333"/>
      <c r="I83" s="333"/>
      <c r="J83" s="333"/>
      <c r="K83" s="333"/>
      <c r="L83" s="333"/>
      <c r="M83" s="333"/>
      <c r="N83" s="333"/>
      <c r="O83" s="333"/>
      <c r="P83" s="333"/>
      <c r="Q83" s="333"/>
      <c r="R83" s="333"/>
      <c r="S83" s="333"/>
      <c r="T83" s="333"/>
      <c r="U83" s="333"/>
      <c r="V83" s="333"/>
      <c r="W83" s="351"/>
      <c r="X83" s="335"/>
      <c r="Y83" s="25"/>
      <c r="Z83" s="25"/>
      <c r="AA83" s="25"/>
      <c r="AB83" s="25"/>
      <c r="AC83" s="25"/>
      <c r="AD83" s="25"/>
      <c r="AE83" s="25"/>
      <c r="AF83" s="25"/>
      <c r="AG83" s="25"/>
      <c r="AH83" s="25"/>
      <c r="AI83" s="337"/>
      <c r="AJ83" s="352"/>
      <c r="AK83" s="331"/>
      <c r="AL83" s="25"/>
    </row>
    <row r="84" spans="1:38" x14ac:dyDescent="0.25">
      <c r="A84" s="353" t="s">
        <v>163</v>
      </c>
      <c r="B84" s="354"/>
      <c r="C84" s="354"/>
      <c r="D84" s="354"/>
      <c r="E84" s="354"/>
      <c r="F84" s="354"/>
      <c r="G84" s="354"/>
      <c r="H84" s="354"/>
      <c r="I84" s="354"/>
      <c r="J84" s="354"/>
      <c r="K84" s="354"/>
      <c r="L84" s="354"/>
      <c r="M84" s="354"/>
      <c r="N84" s="354"/>
      <c r="O84" s="354"/>
      <c r="P84" s="354"/>
      <c r="Q84" s="354"/>
      <c r="R84" s="354"/>
      <c r="S84" s="354"/>
      <c r="T84" s="354"/>
      <c r="U84" s="354"/>
      <c r="V84" s="354"/>
      <c r="W84" s="351"/>
      <c r="X84" s="335"/>
      <c r="Y84" s="25"/>
      <c r="Z84" s="25"/>
      <c r="AA84" s="25"/>
      <c r="AB84" s="25"/>
      <c r="AC84" s="25"/>
      <c r="AD84" s="25"/>
      <c r="AE84" s="25"/>
      <c r="AF84" s="25"/>
      <c r="AG84" s="25"/>
      <c r="AH84" s="25"/>
      <c r="AI84" s="337"/>
      <c r="AJ84" s="352"/>
      <c r="AK84" s="331"/>
      <c r="AL84" s="25"/>
    </row>
    <row r="85" ht="120.6" customHeight="1" spans="1:38" x14ac:dyDescent="0.25">
      <c r="A85" s="355"/>
      <c r="B85" s="356"/>
      <c r="C85" s="356"/>
      <c r="D85" s="356"/>
      <c r="E85" s="356"/>
      <c r="F85" s="356"/>
      <c r="G85" s="356"/>
      <c r="H85" s="356"/>
      <c r="I85" s="356"/>
      <c r="J85" s="356"/>
      <c r="K85" s="356"/>
      <c r="L85" s="356"/>
      <c r="M85" s="356"/>
      <c r="N85" s="356"/>
      <c r="O85" s="356"/>
      <c r="P85" s="356"/>
      <c r="Q85" s="356"/>
      <c r="R85" s="356"/>
      <c r="S85" s="356"/>
      <c r="T85" s="356"/>
      <c r="U85" s="356"/>
      <c r="V85" s="356"/>
      <c r="W85" s="357"/>
      <c r="X85" s="358"/>
      <c r="Y85" s="359"/>
      <c r="Z85" s="359"/>
      <c r="AA85" s="359"/>
      <c r="AB85" s="359"/>
      <c r="AC85" s="359"/>
      <c r="AD85" s="359"/>
      <c r="AE85" s="359"/>
      <c r="AF85" s="359"/>
      <c r="AG85" s="359"/>
      <c r="AH85" s="359"/>
      <c r="AI85" s="343" t="s">
        <v>164</v>
      </c>
      <c r="AJ85" s="360"/>
      <c r="AK85" s="345"/>
      <c r="AL85" s="25"/>
    </row>
  </sheetData>
  <mergeCells count="253">
    <mergeCell ref="A1:S1"/>
    <mergeCell ref="T1:Y2"/>
    <mergeCell ref="AA1:AH1"/>
    <mergeCell ref="AJ1:AK1"/>
    <mergeCell ref="A2:S4"/>
    <mergeCell ref="AA2:AH2"/>
    <mergeCell ref="AA3:AB3"/>
    <mergeCell ref="AC3:AE3"/>
    <mergeCell ref="AF3:AH3"/>
    <mergeCell ref="AA4:AB4"/>
    <mergeCell ref="AC4:AE4"/>
    <mergeCell ref="AJ3:AJ4"/>
    <mergeCell ref="AK3:AK4"/>
    <mergeCell ref="A6:U6"/>
    <mergeCell ref="W6:Y6"/>
    <mergeCell ref="AC6:AK6"/>
    <mergeCell ref="B7:C8"/>
    <mergeCell ref="F7:G8"/>
    <mergeCell ref="J7:L8"/>
    <mergeCell ref="W7:Y8"/>
    <mergeCell ref="Z7:AB8"/>
    <mergeCell ref="AC7:AD7"/>
    <mergeCell ref="A7:A8"/>
    <mergeCell ref="D7:D13"/>
    <mergeCell ref="E7:E8"/>
    <mergeCell ref="H7:H13"/>
    <mergeCell ref="I7:I8"/>
    <mergeCell ref="M7:M13"/>
    <mergeCell ref="N7:N8"/>
    <mergeCell ref="O7:O8"/>
    <mergeCell ref="P7:P11"/>
    <mergeCell ref="Q7:Q8"/>
    <mergeCell ref="R7:R8"/>
    <mergeCell ref="S7:S11"/>
    <mergeCell ref="T7:T8"/>
    <mergeCell ref="U7:U8"/>
    <mergeCell ref="AC8:AD8"/>
    <mergeCell ref="B9:C11"/>
    <mergeCell ref="F9:G11"/>
    <mergeCell ref="J9:L11"/>
    <mergeCell ref="AG9:AH9"/>
    <mergeCell ref="AI9:AK9"/>
    <mergeCell ref="A9:A11"/>
    <mergeCell ref="E9:E11"/>
    <mergeCell ref="I9:I11"/>
    <mergeCell ref="N9:N11"/>
    <mergeCell ref="O9:O11"/>
    <mergeCell ref="Q9:Q11"/>
    <mergeCell ref="R9:R11"/>
    <mergeCell ref="T9:T11"/>
    <mergeCell ref="U9:U11"/>
    <mergeCell ref="W10:AF11"/>
    <mergeCell ref="AG10:AH11"/>
    <mergeCell ref="AI10:AK11"/>
    <mergeCell ref="B12:C13"/>
    <mergeCell ref="F12:G13"/>
    <mergeCell ref="J12:L13"/>
    <mergeCell ref="W12:Y12"/>
    <mergeCell ref="Z12:AD12"/>
    <mergeCell ref="AE12:AH12"/>
    <mergeCell ref="AI12:AK12"/>
    <mergeCell ref="A12:A13"/>
    <mergeCell ref="E12:E13"/>
    <mergeCell ref="I12:I13"/>
    <mergeCell ref="N12:N13"/>
    <mergeCell ref="O12:O13"/>
    <mergeCell ref="Q12:Q13"/>
    <mergeCell ref="R12:R13"/>
    <mergeCell ref="T12:T13"/>
    <mergeCell ref="U12:U13"/>
    <mergeCell ref="W13:Y13"/>
    <mergeCell ref="Z13:AD13"/>
    <mergeCell ref="AE13:AH13"/>
    <mergeCell ref="AI13:AK13"/>
    <mergeCell ref="A15:U15"/>
    <mergeCell ref="W15:AC15"/>
    <mergeCell ref="AE15:AK15"/>
    <mergeCell ref="A16:C16"/>
    <mergeCell ref="D16:G16"/>
    <mergeCell ref="H16:K16"/>
    <mergeCell ref="L16:N16"/>
    <mergeCell ref="P16:R16"/>
    <mergeCell ref="S16:U16"/>
    <mergeCell ref="W16:AC16"/>
    <mergeCell ref="AE16:AI16"/>
    <mergeCell ref="AJ16:AK16"/>
    <mergeCell ref="A17:C17"/>
    <mergeCell ref="D17:G17"/>
    <mergeCell ref="H17:K17"/>
    <mergeCell ref="L17:N17"/>
    <mergeCell ref="P17:R17"/>
    <mergeCell ref="S17:U17"/>
    <mergeCell ref="W17:AC17"/>
    <mergeCell ref="AE17:AI17"/>
    <mergeCell ref="AJ17:AK17"/>
    <mergeCell ref="A18:C18"/>
    <mergeCell ref="D18:G18"/>
    <mergeCell ref="H18:K18"/>
    <mergeCell ref="L18:N18"/>
    <mergeCell ref="P18:R18"/>
    <mergeCell ref="S18:U18"/>
    <mergeCell ref="W18:AC18"/>
    <mergeCell ref="AE18:AI18"/>
    <mergeCell ref="AJ18:AK18"/>
    <mergeCell ref="A19:C19"/>
    <mergeCell ref="D19:G19"/>
    <mergeCell ref="H19:K19"/>
    <mergeCell ref="L19:N19"/>
    <mergeCell ref="P19:R19"/>
    <mergeCell ref="S19:U19"/>
    <mergeCell ref="W19:AC20"/>
    <mergeCell ref="AE19:AI20"/>
    <mergeCell ref="AJ19:AK20"/>
    <mergeCell ref="A20:C20"/>
    <mergeCell ref="D20:G20"/>
    <mergeCell ref="H20:K20"/>
    <mergeCell ref="L20:U20"/>
    <mergeCell ref="A21:U22"/>
    <mergeCell ref="AE21:AI21"/>
    <mergeCell ref="AJ21:AK21"/>
    <mergeCell ref="W22:AC22"/>
    <mergeCell ref="AE22:AI22"/>
    <mergeCell ref="AJ22:AK22"/>
    <mergeCell ref="A23:H23"/>
    <mergeCell ref="I23:O23"/>
    <mergeCell ref="P23:U23"/>
    <mergeCell ref="W23:X23"/>
    <mergeCell ref="Y23:AC23"/>
    <mergeCell ref="AE23:AK23"/>
    <mergeCell ref="A24:H24"/>
    <mergeCell ref="I24:O24"/>
    <mergeCell ref="P24:U24"/>
    <mergeCell ref="AB24:AC25"/>
    <mergeCell ref="AE24:AK25"/>
    <mergeCell ref="A25:B25"/>
    <mergeCell ref="D25:F25"/>
    <mergeCell ref="G25:I25"/>
    <mergeCell ref="J25:K25"/>
    <mergeCell ref="L25:N25"/>
    <mergeCell ref="P25:R25"/>
    <mergeCell ref="S25:U25"/>
    <mergeCell ref="W24:W25"/>
    <mergeCell ref="X24:X25"/>
    <mergeCell ref="Y24:Y25"/>
    <mergeCell ref="Z24:Z25"/>
    <mergeCell ref="AA24:AA25"/>
    <mergeCell ref="A26:B27"/>
    <mergeCell ref="D26:F27"/>
    <mergeCell ref="G26:I27"/>
    <mergeCell ref="J26:K27"/>
    <mergeCell ref="L26:N27"/>
    <mergeCell ref="P26:R27"/>
    <mergeCell ref="S26:U27"/>
    <mergeCell ref="W26:Y26"/>
    <mergeCell ref="Z26:AC26"/>
    <mergeCell ref="AE26:AK26"/>
    <mergeCell ref="C26:C27"/>
    <mergeCell ref="O26:O27"/>
    <mergeCell ref="W27:Y29"/>
    <mergeCell ref="AB27:AC27"/>
    <mergeCell ref="AE27:AK27"/>
    <mergeCell ref="AB28:AC29"/>
    <mergeCell ref="AJ28:AK28"/>
    <mergeCell ref="A29:L29"/>
    <mergeCell ref="M29:R29"/>
    <mergeCell ref="S29:U29"/>
    <mergeCell ref="Z28:Z29"/>
    <mergeCell ref="AA28:AA29"/>
    <mergeCell ref="AJ29:AK30"/>
    <mergeCell ref="AE29:AE30"/>
    <mergeCell ref="AF29:AF30"/>
    <mergeCell ref="AG29:AG30"/>
    <mergeCell ref="AH29:AH30"/>
    <mergeCell ref="AI29:AI30"/>
    <mergeCell ref="W31:AC31"/>
    <mergeCell ref="AE31:AK31"/>
    <mergeCell ref="X32:Y35"/>
    <mergeCell ref="AB32:AC35"/>
    <mergeCell ref="AJ32:AK35"/>
    <mergeCell ref="A33:U33"/>
    <mergeCell ref="W32:W35"/>
    <mergeCell ref="Z32:Z35"/>
    <mergeCell ref="AA32:AA35"/>
    <mergeCell ref="A34:U35"/>
    <mergeCell ref="A36:H36"/>
    <mergeCell ref="I36:O36"/>
    <mergeCell ref="P36:U36"/>
    <mergeCell ref="W36:AK36"/>
    <mergeCell ref="A37:H39"/>
    <mergeCell ref="I37:O39"/>
    <mergeCell ref="P37:U39"/>
    <mergeCell ref="W37:AK37"/>
    <mergeCell ref="W38:AK39"/>
    <mergeCell ref="A40:B40"/>
    <mergeCell ref="D40:F40"/>
    <mergeCell ref="G40:I40"/>
    <mergeCell ref="J40:K40"/>
    <mergeCell ref="L40:N40"/>
    <mergeCell ref="P40:R40"/>
    <mergeCell ref="S40:U40"/>
    <mergeCell ref="A41:B42"/>
    <mergeCell ref="D41:F42"/>
    <mergeCell ref="G41:I42"/>
    <mergeCell ref="J41:K42"/>
    <mergeCell ref="L41:N42"/>
    <mergeCell ref="P41:R42"/>
    <mergeCell ref="S41:U42"/>
    <mergeCell ref="W41:AK42"/>
    <mergeCell ref="C41:C42"/>
    <mergeCell ref="O41:O42"/>
    <mergeCell ref="W43:AK43"/>
    <mergeCell ref="A44:L44"/>
    <mergeCell ref="M44:R44"/>
    <mergeCell ref="S44:U44"/>
    <mergeCell ref="W44:AK45"/>
    <mergeCell ref="W46:AK46"/>
    <mergeCell ref="W47:AK47"/>
    <mergeCell ref="A48:U49"/>
    <mergeCell ref="A51:U51"/>
    <mergeCell ref="W51:X51"/>
    <mergeCell ref="Y51:AH51"/>
    <mergeCell ref="A52:V53"/>
    <mergeCell ref="W52:X53"/>
    <mergeCell ref="A54:V54"/>
    <mergeCell ref="W54:X54"/>
    <mergeCell ref="A55:V55"/>
    <mergeCell ref="A56:U56"/>
    <mergeCell ref="W56:X56"/>
    <mergeCell ref="A57:U57"/>
    <mergeCell ref="W57:X57"/>
    <mergeCell ref="A58:U58"/>
    <mergeCell ref="W58:X58"/>
    <mergeCell ref="A59:U59"/>
    <mergeCell ref="W59:X59"/>
    <mergeCell ref="A60:U60"/>
    <mergeCell ref="A61:U61"/>
    <mergeCell ref="A62:U62"/>
    <mergeCell ref="A63:V63"/>
    <mergeCell ref="AI62:AI72"/>
    <mergeCell ref="A64:V64"/>
    <mergeCell ref="A65:V65"/>
    <mergeCell ref="A66:V66"/>
    <mergeCell ref="A67:U67"/>
    <mergeCell ref="A68:V68"/>
    <mergeCell ref="A69:V70"/>
    <mergeCell ref="A71:V73"/>
    <mergeCell ref="A74:V74"/>
    <mergeCell ref="A75:V75"/>
    <mergeCell ref="A76:V77"/>
    <mergeCell ref="A78:V79"/>
    <mergeCell ref="A80:V82"/>
    <mergeCell ref="A83:V83"/>
    <mergeCell ref="A84:V85"/>
  </mergeCells>
  <pageMargins left="0" right="0" top="0.2755905511811024" bottom="0.1968503937007874" header="0.31496062992125984" footer="0.31496062992125984"/>
  <pageSetup orientation="landscape" horizontalDpi="0" verticalDpi="0" scale="96"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AE65"/>
  <sheetViews>
    <sheetView workbookViewId="0" zoomScale="100" zoomScaleNormal="100">
      <selection activeCell="AA26" sqref="AA26"/>
    </sheetView>
  </sheetViews>
  <sheetFormatPr defaultRowHeight="12.75" outlineLevelRow="0" outlineLevelCol="0" x14ac:dyDescent="0.2" defaultColWidth="4.33203125" customHeight="1"/>
  <cols>
    <col min="1" max="2" width="8" style="361" customWidth="1"/>
    <col min="3" max="5" width="4.33203125" style="361" customWidth="1"/>
    <col min="6" max="6" width="9" style="361" customWidth="1"/>
    <col min="7" max="17" width="4.33203125" style="361" customWidth="1"/>
    <col min="18" max="18" width="5.33203125" style="361" customWidth="1"/>
    <col min="19" max="19" width="3.6640625" style="361" customWidth="1"/>
    <col min="20" max="22" width="4.33203125" style="361" customWidth="1"/>
  </cols>
  <sheetData>
    <row r="1" spans="1:22" x14ac:dyDescent="0.25">
      <c r="A1" s="305"/>
      <c r="B1" s="305"/>
      <c r="C1" s="305"/>
      <c r="D1" s="305"/>
      <c r="E1" s="305"/>
      <c r="F1" s="305"/>
      <c r="G1" s="305"/>
      <c r="H1" s="305"/>
      <c r="I1" s="305"/>
      <c r="J1" s="305"/>
      <c r="K1" s="305"/>
      <c r="L1" s="305"/>
      <c r="M1" s="305"/>
      <c r="N1" s="305"/>
      <c r="O1" s="305"/>
      <c r="P1" s="305"/>
      <c r="Q1" s="305"/>
      <c r="R1" s="305"/>
      <c r="S1" s="305"/>
      <c r="T1" s="305"/>
      <c r="U1" s="305"/>
      <c r="V1" s="305"/>
    </row>
    <row r="2" spans="1:22" x14ac:dyDescent="0.25">
      <c r="A2" s="305"/>
      <c r="B2" s="305"/>
      <c r="C2" s="305"/>
      <c r="D2" s="305"/>
      <c r="E2" s="305"/>
      <c r="F2" s="305"/>
      <c r="G2" s="305"/>
      <c r="H2" s="305"/>
      <c r="I2" s="362" t="s">
        <v>165</v>
      </c>
      <c r="J2" s="363"/>
      <c r="K2" s="363"/>
      <c r="L2" s="363"/>
      <c r="M2" s="363"/>
      <c r="N2" s="363"/>
      <c r="O2" s="305"/>
      <c r="P2" s="305"/>
      <c r="Q2" s="305"/>
      <c r="R2" s="305"/>
      <c r="S2" s="305"/>
      <c r="T2" s="305"/>
      <c r="U2" s="305"/>
      <c r="V2" s="305"/>
    </row>
    <row r="3" spans="1:22" x14ac:dyDescent="0.25">
      <c r="A3" s="305"/>
      <c r="B3" s="305"/>
      <c r="C3" s="305"/>
      <c r="D3" s="305"/>
      <c r="E3" s="305"/>
      <c r="F3" s="305"/>
      <c r="G3" s="305"/>
      <c r="H3" s="305"/>
      <c r="I3" s="305"/>
      <c r="J3" s="305"/>
      <c r="K3" s="305"/>
      <c r="L3" s="305"/>
      <c r="M3" s="305"/>
      <c r="N3" s="305"/>
      <c r="O3" s="305"/>
      <c r="P3" s="305"/>
      <c r="Q3" s="305"/>
      <c r="R3" s="305"/>
      <c r="S3" s="305"/>
      <c r="T3" s="305"/>
      <c r="U3" s="305"/>
      <c r="V3" s="305"/>
    </row>
    <row r="4" spans="1:22" x14ac:dyDescent="0.25">
      <c r="A4" s="305"/>
      <c r="B4" s="305"/>
      <c r="C4" s="305"/>
      <c r="D4" s="305"/>
      <c r="E4" s="305"/>
      <c r="F4" s="305"/>
      <c r="G4" s="305"/>
      <c r="H4" s="305"/>
      <c r="I4" s="305"/>
      <c r="J4" s="305"/>
      <c r="K4" s="305"/>
      <c r="L4" s="305"/>
      <c r="M4" s="305"/>
      <c r="N4" s="305"/>
      <c r="O4" s="305"/>
      <c r="P4" s="305"/>
      <c r="Q4" s="305"/>
      <c r="R4" s="305"/>
      <c r="S4" s="305"/>
      <c r="T4" s="305"/>
      <c r="U4" s="305"/>
      <c r="V4" s="305"/>
    </row>
    <row r="5" spans="1:22" x14ac:dyDescent="0.25">
      <c r="A5" s="305"/>
      <c r="B5" s="305"/>
      <c r="C5" s="364" t="s">
        <v>166</v>
      </c>
      <c r="D5" s="364"/>
      <c r="E5" s="364"/>
      <c r="F5" s="364"/>
      <c r="G5" s="364"/>
      <c r="H5" s="365" t="str">
        <f>CONCATENATE(DATOS!B3," ",DATOS!C3," ",DATOS!D3)</f>
        <v>MORENO ROZO LORENA</v>
      </c>
      <c r="I5" s="365"/>
      <c r="J5" s="365"/>
      <c r="K5" s="365"/>
      <c r="L5" s="365"/>
      <c r="M5" s="365"/>
      <c r="N5" s="365"/>
      <c r="O5" s="365"/>
      <c r="P5" s="365"/>
      <c r="Q5" s="305" t="s">
        <v>167</v>
      </c>
      <c r="R5" s="305"/>
      <c r="S5" s="305"/>
      <c r="T5" s="305"/>
      <c r="U5" s="305"/>
      <c r="V5" s="305"/>
    </row>
    <row r="6" ht="8.45" customHeight="1" spans="1:22" x14ac:dyDescent="0.25">
      <c r="A6" s="305"/>
      <c r="B6" s="305"/>
      <c r="C6" s="305"/>
      <c r="D6" s="305"/>
      <c r="E6" s="305"/>
      <c r="F6" s="305"/>
      <c r="G6" s="305"/>
      <c r="H6" s="305"/>
      <c r="I6" s="305"/>
      <c r="J6" s="305"/>
      <c r="K6" s="305"/>
      <c r="L6" s="305"/>
      <c r="M6" s="305"/>
      <c r="N6" s="305"/>
      <c r="O6" s="305"/>
      <c r="P6" s="305"/>
      <c r="Q6" s="305"/>
      <c r="R6" s="305"/>
      <c r="S6" s="305"/>
      <c r="T6" s="305"/>
      <c r="U6" s="305"/>
      <c r="V6" s="305"/>
    </row>
    <row r="7" spans="1:22" x14ac:dyDescent="0.25">
      <c r="A7" s="305"/>
      <c r="B7" s="305"/>
      <c r="C7" s="364" t="s">
        <v>168</v>
      </c>
      <c r="D7" s="305"/>
      <c r="E7" s="305"/>
      <c r="F7" s="305"/>
      <c r="G7" s="305"/>
      <c r="H7" s="305"/>
      <c r="I7" s="305"/>
      <c r="J7" s="305"/>
      <c r="K7" s="305"/>
      <c r="L7" s="305"/>
      <c r="M7" s="38">
        <f>DATOS!B4</f>
        <v>1110451335</v>
      </c>
      <c r="N7" s="38"/>
      <c r="O7" s="38"/>
      <c r="P7" s="38"/>
      <c r="Q7" s="305" t="s">
        <v>169</v>
      </c>
      <c r="R7" s="305"/>
      <c r="S7" s="305"/>
      <c r="T7" s="305"/>
      <c r="U7" s="305"/>
      <c r="V7" s="305"/>
    </row>
    <row r="8" ht="8.45" customHeight="1" spans="1:22" x14ac:dyDescent="0.25">
      <c r="A8" s="305"/>
      <c r="B8" s="305"/>
      <c r="C8" s="305"/>
      <c r="D8" s="305"/>
      <c r="E8" s="305"/>
      <c r="F8" s="305"/>
      <c r="G8" s="305"/>
      <c r="H8" s="305"/>
      <c r="I8" s="305"/>
      <c r="J8" s="305"/>
      <c r="K8" s="305"/>
      <c r="L8" s="305"/>
      <c r="M8" s="305"/>
      <c r="N8" s="305"/>
      <c r="O8" s="305"/>
      <c r="P8" s="305"/>
      <c r="Q8" s="305"/>
      <c r="R8" s="305"/>
      <c r="S8" s="305"/>
      <c r="T8" s="305"/>
      <c r="U8" s="305"/>
      <c r="V8" s="305"/>
    </row>
    <row r="9" spans="1:22" x14ac:dyDescent="0.25">
      <c r="A9" s="305"/>
      <c r="B9" s="305"/>
      <c r="C9" s="366" t="s">
        <v>170</v>
      </c>
      <c r="D9" s="366"/>
      <c r="E9" s="366"/>
      <c r="F9" s="366"/>
      <c r="G9" s="366"/>
      <c r="H9" s="366"/>
      <c r="I9" s="366"/>
      <c r="J9" s="366"/>
      <c r="K9" s="366"/>
      <c r="L9" s="366"/>
      <c r="M9" s="366"/>
      <c r="N9" s="366"/>
      <c r="O9" s="366"/>
      <c r="P9" s="366"/>
      <c r="Q9" s="366"/>
      <c r="R9" s="366"/>
      <c r="S9" s="366"/>
      <c r="T9" s="366"/>
      <c r="U9" s="305"/>
      <c r="V9" s="305"/>
    </row>
    <row r="10" ht="8.45" customHeight="1" spans="1:22" x14ac:dyDescent="0.25">
      <c r="A10" s="305"/>
      <c r="B10" s="305"/>
      <c r="C10" s="305"/>
      <c r="D10" s="305"/>
      <c r="E10" s="305"/>
      <c r="F10" s="305"/>
      <c r="G10" s="305"/>
      <c r="H10" s="305"/>
      <c r="I10" s="305"/>
      <c r="J10" s="305"/>
      <c r="K10" s="305"/>
      <c r="L10" s="305"/>
      <c r="M10" s="305"/>
      <c r="N10" s="305"/>
      <c r="O10" s="305"/>
      <c r="P10" s="305"/>
      <c r="Q10" s="305"/>
      <c r="R10" s="305"/>
      <c r="S10" s="305"/>
      <c r="T10" s="305"/>
      <c r="U10" s="305"/>
      <c r="V10" s="305"/>
    </row>
    <row r="11" spans="1:22" x14ac:dyDescent="0.25">
      <c r="A11" s="305"/>
      <c r="B11" s="305"/>
      <c r="C11" s="38"/>
      <c r="D11" s="38"/>
      <c r="E11" s="38"/>
      <c r="F11" s="38"/>
      <c r="G11" s="38"/>
      <c r="H11" s="364" t="s">
        <v>171</v>
      </c>
      <c r="I11" s="305"/>
      <c r="J11" s="305"/>
      <c r="K11" s="305"/>
      <c r="L11" s="305"/>
      <c r="M11" s="305"/>
      <c r="N11" s="305"/>
      <c r="O11" s="305"/>
      <c r="P11" s="305"/>
      <c r="Q11" s="305"/>
      <c r="R11" s="305"/>
      <c r="S11" s="305"/>
      <c r="T11" s="305"/>
      <c r="U11" s="305"/>
      <c r="V11" s="305"/>
    </row>
    <row r="12" ht="8.45" customHeight="1" spans="1:22" x14ac:dyDescent="0.25">
      <c r="A12" s="305"/>
      <c r="B12" s="305"/>
      <c r="C12" s="305"/>
      <c r="D12" s="305"/>
      <c r="E12" s="305"/>
      <c r="F12" s="305"/>
      <c r="G12" s="305"/>
      <c r="H12" s="305"/>
      <c r="I12" s="305"/>
      <c r="J12" s="305"/>
      <c r="K12" s="305"/>
      <c r="L12" s="305"/>
      <c r="M12" s="305"/>
      <c r="N12" s="305"/>
      <c r="O12" s="305"/>
      <c r="P12" s="305"/>
      <c r="Q12" s="305"/>
      <c r="R12" s="305"/>
      <c r="S12" s="305"/>
      <c r="T12" s="305"/>
      <c r="U12" s="305"/>
      <c r="V12" s="305"/>
    </row>
    <row r="13" spans="1:22" x14ac:dyDescent="0.25">
      <c r="A13" s="305"/>
      <c r="B13" s="305"/>
      <c r="C13" s="364" t="s">
        <v>172</v>
      </c>
      <c r="D13" s="364"/>
      <c r="E13" s="364"/>
      <c r="F13" s="367"/>
      <c r="G13" s="367"/>
      <c r="H13" s="367"/>
      <c r="I13" s="364" t="s">
        <v>173</v>
      </c>
      <c r="J13" s="364"/>
      <c r="K13" s="364"/>
      <c r="L13" s="364"/>
      <c r="M13" s="364"/>
      <c r="N13" s="364"/>
      <c r="O13" s="364"/>
      <c r="P13" s="364"/>
      <c r="Q13" s="364"/>
      <c r="R13" s="364"/>
      <c r="S13" s="364"/>
      <c r="T13" s="364"/>
      <c r="U13" s="305"/>
      <c r="V13" s="305"/>
    </row>
    <row r="14" ht="8.45" customHeight="1" spans="1:22" x14ac:dyDescent="0.25">
      <c r="A14" s="305"/>
      <c r="B14" s="305"/>
      <c r="C14" s="305"/>
      <c r="D14" s="305"/>
      <c r="E14" s="305"/>
      <c r="F14" s="305"/>
      <c r="G14" s="305"/>
      <c r="H14" s="305"/>
      <c r="I14" s="305"/>
      <c r="J14" s="305"/>
      <c r="K14" s="305"/>
      <c r="L14" s="305"/>
      <c r="M14" s="305"/>
      <c r="N14" s="305"/>
      <c r="O14" s="305"/>
      <c r="P14" s="305"/>
      <c r="Q14" s="305"/>
      <c r="R14" s="305"/>
      <c r="S14" s="305"/>
      <c r="T14" s="305"/>
      <c r="U14" s="305"/>
      <c r="V14" s="305"/>
    </row>
    <row r="15" spans="1:22" x14ac:dyDescent="0.25">
      <c r="A15" s="305"/>
      <c r="B15" s="305"/>
      <c r="C15" s="364" t="s">
        <v>174</v>
      </c>
      <c r="D15" s="305"/>
      <c r="E15" s="305"/>
      <c r="F15" s="305"/>
      <c r="G15" s="305"/>
      <c r="H15" s="305"/>
      <c r="I15" s="305"/>
      <c r="J15" s="305"/>
      <c r="K15" s="305"/>
      <c r="L15" s="305"/>
      <c r="M15" s="305"/>
      <c r="N15" s="305"/>
      <c r="O15" s="305"/>
      <c r="P15" s="305"/>
      <c r="Q15" s="305"/>
      <c r="R15" s="305"/>
      <c r="S15" s="305"/>
      <c r="T15" s="305"/>
      <c r="U15" s="305"/>
      <c r="V15" s="305"/>
    </row>
    <row r="16" ht="8.45" customHeight="1" spans="1:22" x14ac:dyDescent="0.25">
      <c r="A16" s="305"/>
      <c r="B16" s="305"/>
      <c r="C16" s="305"/>
      <c r="D16" s="305"/>
      <c r="E16" s="305"/>
      <c r="F16" s="305"/>
      <c r="G16" s="305"/>
      <c r="H16" s="305"/>
      <c r="I16" s="305"/>
      <c r="J16" s="305"/>
      <c r="K16" s="305"/>
      <c r="L16" s="305"/>
      <c r="M16" s="305"/>
      <c r="N16" s="305"/>
      <c r="O16" s="305"/>
      <c r="P16" s="305"/>
      <c r="Q16" s="305"/>
      <c r="R16" s="305"/>
      <c r="S16" s="305"/>
      <c r="T16" s="305"/>
      <c r="U16" s="305"/>
      <c r="V16" s="305"/>
    </row>
    <row r="17" spans="1:22" x14ac:dyDescent="0.25">
      <c r="A17" s="305"/>
      <c r="B17" s="305"/>
      <c r="C17" s="364" t="s">
        <v>175</v>
      </c>
      <c r="D17" s="305"/>
      <c r="E17" s="305"/>
      <c r="F17" s="305"/>
      <c r="G17" s="305"/>
      <c r="H17" s="305"/>
      <c r="I17" s="305"/>
      <c r="J17" s="305"/>
      <c r="K17" s="305"/>
      <c r="L17" s="305"/>
      <c r="M17" s="305"/>
      <c r="N17" s="305"/>
      <c r="O17" s="305"/>
      <c r="P17" s="305"/>
      <c r="Q17" s="305"/>
      <c r="R17" s="305"/>
      <c r="S17" s="305"/>
      <c r="T17" s="305"/>
      <c r="U17" s="305"/>
      <c r="V17" s="305"/>
    </row>
    <row r="18" ht="8.45" customHeight="1" spans="1:22" x14ac:dyDescent="0.25">
      <c r="A18" s="305"/>
      <c r="B18" s="305"/>
      <c r="C18" s="305"/>
      <c r="D18" s="305"/>
      <c r="E18" s="305"/>
      <c r="F18" s="305"/>
      <c r="G18" s="305"/>
      <c r="H18" s="305"/>
      <c r="I18" s="305"/>
      <c r="J18" s="305"/>
      <c r="K18" s="305"/>
      <c r="L18" s="305"/>
      <c r="M18" s="305"/>
      <c r="N18" s="305"/>
      <c r="O18" s="305"/>
      <c r="P18" s="305"/>
      <c r="Q18" s="305"/>
      <c r="R18" s="305"/>
      <c r="S18" s="305"/>
      <c r="T18" s="305"/>
      <c r="U18" s="305"/>
      <c r="V18" s="305"/>
    </row>
    <row r="19" spans="1:22" x14ac:dyDescent="0.25">
      <c r="A19" s="305"/>
      <c r="B19" s="305"/>
      <c r="C19" s="364" t="s">
        <v>176</v>
      </c>
      <c r="D19" s="305"/>
      <c r="E19" s="305"/>
      <c r="F19" s="305"/>
      <c r="G19" s="305"/>
      <c r="H19" s="305"/>
      <c r="I19" s="305"/>
      <c r="J19" s="305"/>
      <c r="K19" s="305"/>
      <c r="L19" s="305"/>
      <c r="M19" s="305"/>
      <c r="N19" s="305"/>
      <c r="O19" s="305"/>
      <c r="P19" s="305"/>
      <c r="Q19" s="305"/>
      <c r="R19" s="305"/>
      <c r="S19" s="305"/>
      <c r="T19" s="305"/>
      <c r="U19" s="305"/>
      <c r="V19" s="305"/>
    </row>
    <row r="20" ht="8.45" customHeight="1" spans="1:22" x14ac:dyDescent="0.25">
      <c r="A20" s="305"/>
      <c r="B20" s="305"/>
      <c r="C20" s="305"/>
      <c r="D20" s="305"/>
      <c r="E20" s="305"/>
      <c r="F20" s="305"/>
      <c r="G20" s="305"/>
      <c r="H20" s="305"/>
      <c r="I20" s="305"/>
      <c r="J20" s="305"/>
      <c r="K20" s="305"/>
      <c r="L20" s="305"/>
      <c r="M20" s="305"/>
      <c r="N20" s="305"/>
      <c r="O20" s="305"/>
      <c r="P20" s="305"/>
      <c r="Q20" s="305"/>
      <c r="R20" s="305"/>
      <c r="S20" s="305"/>
      <c r="T20" s="305"/>
      <c r="U20" s="305"/>
      <c r="V20" s="305"/>
    </row>
    <row r="21" spans="1:22" x14ac:dyDescent="0.25">
      <c r="A21" s="305"/>
      <c r="B21" s="305"/>
      <c r="C21" s="364" t="s">
        <v>177</v>
      </c>
      <c r="D21" s="305"/>
      <c r="E21" s="305"/>
      <c r="F21" s="305"/>
      <c r="G21" s="305"/>
      <c r="H21" s="305"/>
      <c r="I21" s="305"/>
      <c r="J21" s="305"/>
      <c r="K21" s="305"/>
      <c r="L21" s="305"/>
      <c r="M21" s="305"/>
      <c r="N21" s="305"/>
      <c r="O21" s="305"/>
      <c r="P21" s="305"/>
      <c r="Q21" s="305"/>
      <c r="R21" s="305"/>
      <c r="S21" s="305"/>
      <c r="T21" s="305"/>
      <c r="U21" s="305"/>
      <c r="V21" s="305"/>
    </row>
    <row r="22" ht="8.45" customHeight="1" spans="1:22" x14ac:dyDescent="0.25">
      <c r="A22" s="305"/>
      <c r="B22" s="305"/>
      <c r="C22" s="305"/>
      <c r="D22" s="305"/>
      <c r="E22" s="305"/>
      <c r="F22" s="305"/>
      <c r="G22" s="305"/>
      <c r="H22" s="305"/>
      <c r="I22" s="305"/>
      <c r="J22" s="305"/>
      <c r="K22" s="305"/>
      <c r="L22" s="305"/>
      <c r="M22" s="305"/>
      <c r="N22" s="305"/>
      <c r="O22" s="305"/>
      <c r="P22" s="305"/>
      <c r="Q22" s="305"/>
      <c r="R22" s="305"/>
      <c r="S22" s="305"/>
      <c r="T22" s="305"/>
      <c r="U22" s="305"/>
      <c r="V22" s="305"/>
    </row>
    <row r="23" spans="1:22" x14ac:dyDescent="0.25">
      <c r="A23" s="305"/>
      <c r="B23" s="305"/>
      <c r="C23" s="364" t="s">
        <v>178</v>
      </c>
      <c r="D23" s="305"/>
      <c r="E23" s="305"/>
      <c r="F23" s="305"/>
      <c r="G23" s="305"/>
      <c r="H23" s="305"/>
      <c r="I23" s="305"/>
      <c r="J23" s="305"/>
      <c r="K23" s="305"/>
      <c r="L23" s="305"/>
      <c r="M23" s="305"/>
      <c r="N23" s="305"/>
      <c r="O23" s="305"/>
      <c r="P23" s="305"/>
      <c r="Q23" s="305"/>
      <c r="R23" s="305"/>
      <c r="S23" s="305"/>
      <c r="T23" s="305"/>
      <c r="U23" s="305"/>
      <c r="V23" s="305"/>
    </row>
    <row r="24" ht="8.45" customHeight="1" spans="1:22" x14ac:dyDescent="0.25">
      <c r="A24" s="305"/>
      <c r="B24" s="305"/>
      <c r="C24" s="305"/>
      <c r="D24" s="305"/>
      <c r="E24" s="305"/>
      <c r="F24" s="305"/>
      <c r="G24" s="305"/>
      <c r="H24" s="305"/>
      <c r="I24" s="305"/>
      <c r="J24" s="305"/>
      <c r="K24" s="305"/>
      <c r="L24" s="305"/>
      <c r="M24" s="305"/>
      <c r="N24" s="305"/>
      <c r="O24" s="305"/>
      <c r="P24" s="305"/>
      <c r="Q24" s="305"/>
      <c r="R24" s="305"/>
      <c r="S24" s="305"/>
      <c r="T24" s="305"/>
      <c r="U24" s="305"/>
      <c r="V24" s="305"/>
    </row>
    <row r="25" ht="15" customHeight="1" spans="3:20" x14ac:dyDescent="0.25">
      <c r="C25" s="364" t="s">
        <v>179</v>
      </c>
      <c r="N25" s="368"/>
      <c r="O25" s="369"/>
      <c r="P25" s="370" t="str">
        <f>DATOS!B43</f>
        <v>TRASPASO</v>
      </c>
      <c r="Q25" s="370"/>
      <c r="R25" s="370"/>
      <c r="S25" s="370"/>
      <c r="T25" s="370"/>
    </row>
    <row r="26" ht="8.45" customHeight="1" x14ac:dyDescent="0.25"/>
    <row r="27" spans="3:31" x14ac:dyDescent="0.25">
      <c r="C27" s="364" t="s">
        <v>180</v>
      </c>
      <c r="AE27" s="371" t="s">
        <v>181</v>
      </c>
    </row>
    <row r="28" ht="8.45" customHeight="1" x14ac:dyDescent="0.25"/>
    <row r="29" spans="3:21" x14ac:dyDescent="0.25">
      <c r="C29" s="372" t="s">
        <v>182</v>
      </c>
      <c r="E29" s="373" t="str">
        <f>DATOS!B19</f>
        <v>GRV119</v>
      </c>
      <c r="F29" s="373"/>
      <c r="G29" s="372" t="s">
        <v>183</v>
      </c>
      <c r="I29" s="373" t="str">
        <f>DATOS!B22</f>
        <v>RENAULT</v>
      </c>
      <c r="J29" s="373"/>
      <c r="K29" s="373"/>
      <c r="L29" s="372" t="s">
        <v>184</v>
      </c>
      <c r="N29" s="373" t="str">
        <f>DATOS!B23</f>
        <v>SANDERO</v>
      </c>
      <c r="O29" s="373"/>
      <c r="P29" s="373"/>
      <c r="Q29" s="372" t="s">
        <v>185</v>
      </c>
      <c r="S29" s="373">
        <f>DATOS!B20</f>
        <v>2020</v>
      </c>
      <c r="T29" s="373"/>
      <c r="U29" s="368"/>
    </row>
    <row r="30" ht="8.45" customHeight="1" x14ac:dyDescent="0.25"/>
    <row r="31" spans="3:21" x14ac:dyDescent="0.25">
      <c r="C31" s="372" t="s">
        <v>186</v>
      </c>
      <c r="F31" s="373">
        <f>DATOS!B31</f>
        <v>1598</v>
      </c>
      <c r="G31" s="373"/>
      <c r="H31" s="372" t="s">
        <v>187</v>
      </c>
      <c r="J31" s="374" t="str">
        <f>DATOS!B27</f>
        <v>A812UF91875</v>
      </c>
      <c r="K31" s="374"/>
      <c r="L31" s="374"/>
      <c r="M31" s="374"/>
      <c r="N31" s="372" t="s">
        <v>188</v>
      </c>
      <c r="P31" s="373" t="str">
        <f>DATOS!B29</f>
        <v>9FB5SREB4LM325716</v>
      </c>
      <c r="Q31" s="373"/>
      <c r="R31" s="373"/>
      <c r="S31" s="373"/>
      <c r="T31" s="373"/>
      <c r="U31" s="368"/>
    </row>
    <row r="32" ht="8.45" customHeight="1" x14ac:dyDescent="0.25"/>
    <row r="33" spans="3:3" x14ac:dyDescent="0.25">
      <c r="C33" s="364" t="s">
        <v>189</v>
      </c>
    </row>
    <row r="34" ht="8.45" customHeight="1" x14ac:dyDescent="0.25"/>
    <row r="35" spans="3:3" x14ac:dyDescent="0.25">
      <c r="C35" s="364" t="s">
        <v>190</v>
      </c>
    </row>
    <row r="36" ht="8.45" customHeight="1" x14ac:dyDescent="0.25"/>
    <row r="37" spans="3:3" x14ac:dyDescent="0.25">
      <c r="C37" s="364" t="s">
        <v>191</v>
      </c>
    </row>
    <row r="38" ht="8.45" customHeight="1" x14ac:dyDescent="0.25"/>
    <row r="39" spans="3:3" x14ac:dyDescent="0.25">
      <c r="C39" s="364" t="s">
        <v>192</v>
      </c>
    </row>
    <row r="40" ht="8.45" customHeight="1" x14ac:dyDescent="0.25"/>
    <row r="41" spans="3:3" x14ac:dyDescent="0.25">
      <c r="C41" s="364" t="s">
        <v>193</v>
      </c>
    </row>
    <row r="42" ht="8.45" customHeight="1" x14ac:dyDescent="0.25"/>
    <row r="43" spans="3:3" x14ac:dyDescent="0.25">
      <c r="C43" s="364" t="s">
        <v>194</v>
      </c>
    </row>
    <row r="44" ht="8.45" customHeight="1" x14ac:dyDescent="0.25"/>
    <row r="45" spans="3:3" x14ac:dyDescent="0.25">
      <c r="C45" s="364" t="s">
        <v>195</v>
      </c>
    </row>
    <row r="46" ht="8.45" customHeight="1" x14ac:dyDescent="0.25"/>
    <row r="47" spans="3:3" x14ac:dyDescent="0.25">
      <c r="C47" s="361" t="s">
        <v>196</v>
      </c>
    </row>
    <row r="50" spans="14:18" x14ac:dyDescent="0.25">
      <c r="N50" s="375"/>
      <c r="O50" s="375"/>
      <c r="P50" s="375"/>
      <c r="Q50" s="375"/>
      <c r="R50" s="375"/>
    </row>
    <row r="51" spans="14:18" x14ac:dyDescent="0.25">
      <c r="N51" s="375"/>
      <c r="O51" s="375"/>
      <c r="P51" s="375"/>
      <c r="Q51" s="375"/>
      <c r="R51" s="375"/>
    </row>
    <row r="52" spans="3:18" x14ac:dyDescent="0.25">
      <c r="C52" s="376" t="s">
        <v>197</v>
      </c>
      <c r="N52" s="375"/>
      <c r="O52" s="375"/>
      <c r="P52" s="375"/>
      <c r="Q52" s="375"/>
      <c r="R52" s="375"/>
    </row>
    <row r="53" spans="14:18" x14ac:dyDescent="0.25">
      <c r="N53" s="375"/>
      <c r="O53" s="375"/>
      <c r="P53" s="375"/>
      <c r="Q53" s="375"/>
      <c r="R53" s="375"/>
    </row>
    <row r="54" spans="14:18" x14ac:dyDescent="0.25">
      <c r="N54" s="375"/>
      <c r="O54" s="375"/>
      <c r="P54" s="375"/>
      <c r="Q54" s="375"/>
      <c r="R54" s="375"/>
    </row>
    <row r="55" spans="3:18" x14ac:dyDescent="0.25">
      <c r="C55" s="377"/>
      <c r="D55" s="377"/>
      <c r="E55" s="377"/>
      <c r="F55" s="377"/>
      <c r="G55" s="377"/>
      <c r="H55" s="377"/>
      <c r="I55" s="377"/>
      <c r="J55" s="377"/>
      <c r="N55" s="375"/>
      <c r="O55" s="375"/>
      <c r="P55" s="375"/>
      <c r="Q55" s="375"/>
      <c r="R55" s="375"/>
    </row>
    <row r="56" spans="3:3" x14ac:dyDescent="0.25">
      <c r="C56" s="376" t="s">
        <v>198</v>
      </c>
    </row>
    <row r="57" spans="3:3" x14ac:dyDescent="0.25">
      <c r="C57" s="376"/>
    </row>
    <row r="58" spans="3:3" x14ac:dyDescent="0.25">
      <c r="C58" s="376"/>
    </row>
    <row r="59" spans="14:18" x14ac:dyDescent="0.25">
      <c r="N59" s="375"/>
      <c r="O59" s="375"/>
      <c r="P59" s="375"/>
      <c r="Q59" s="375"/>
      <c r="R59" s="375"/>
    </row>
    <row r="60" spans="14:18" x14ac:dyDescent="0.25">
      <c r="N60" s="375"/>
      <c r="O60" s="375"/>
      <c r="P60" s="375"/>
      <c r="Q60" s="375"/>
      <c r="R60" s="375"/>
    </row>
    <row r="61" spans="3:18" x14ac:dyDescent="0.25">
      <c r="C61" s="376" t="s">
        <v>199</v>
      </c>
      <c r="N61" s="375"/>
      <c r="O61" s="375"/>
      <c r="P61" s="375"/>
      <c r="Q61" s="375"/>
      <c r="R61" s="375"/>
    </row>
    <row r="62" spans="14:18" x14ac:dyDescent="0.25">
      <c r="N62" s="375"/>
      <c r="O62" s="375"/>
      <c r="P62" s="375"/>
      <c r="Q62" s="375"/>
      <c r="R62" s="375"/>
    </row>
    <row r="63" spans="14:18" x14ac:dyDescent="0.25">
      <c r="N63" s="375"/>
      <c r="O63" s="375"/>
      <c r="P63" s="375"/>
      <c r="Q63" s="375"/>
      <c r="R63" s="375"/>
    </row>
    <row r="64" spans="3:18" x14ac:dyDescent="0.25">
      <c r="C64" s="377"/>
      <c r="D64" s="377"/>
      <c r="E64" s="377"/>
      <c r="F64" s="377"/>
      <c r="G64" s="377"/>
      <c r="H64" s="377"/>
      <c r="I64" s="377"/>
      <c r="J64" s="377"/>
      <c r="N64" s="375"/>
      <c r="O64" s="375"/>
      <c r="P64" s="375"/>
      <c r="Q64" s="375"/>
      <c r="R64" s="375"/>
    </row>
    <row r="65" spans="3:3" x14ac:dyDescent="0.25">
      <c r="C65" s="376" t="s">
        <v>198</v>
      </c>
    </row>
  </sheetData>
  <sheetProtection sheet="1" algorithmName="SHA-512" hashValue="1RVE6lp6VSKSdezBei1VuRZBpmxTp8UPskUBFVenCPnIgSrCDzB3PnTxhaORuS4rR44W29eRJweU3BUDRnYOzg==" saltValue="ykTTmdBSYdzliBSPXR74JA==" spinCount="100000" objects="1" scenarios="1"/>
  <mergeCells count="15">
    <mergeCell ref="H5:P5"/>
    <mergeCell ref="M7:P7"/>
    <mergeCell ref="C9:T9"/>
    <mergeCell ref="C11:G11"/>
    <mergeCell ref="F13:H13"/>
    <mergeCell ref="P25:T25"/>
    <mergeCell ref="E29:F29"/>
    <mergeCell ref="I29:K29"/>
    <mergeCell ref="N29:P29"/>
    <mergeCell ref="S29:T29"/>
    <mergeCell ref="F31:G31"/>
    <mergeCell ref="J31:M31"/>
    <mergeCell ref="P31:T31"/>
    <mergeCell ref="N50:R55"/>
    <mergeCell ref="N59:R64"/>
  </mergeCells>
  <pageMargins left="0.03937007874015748" right="0.03937007874015748" top="0.35433070866141736" bottom="0" header="0.1968503937007874" footer="0.31496062992125984"/>
  <pageSetup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W117"/>
  <sheetViews>
    <sheetView workbookViewId="0" zoomScale="100" zoomScaleNormal="100">
      <selection activeCell="F37" sqref="F37"/>
    </sheetView>
  </sheetViews>
  <sheetFormatPr defaultRowHeight="12.75" outlineLevelRow="0" outlineLevelCol="0" x14ac:dyDescent="0.2" customHeight="1"/>
  <cols>
    <col min="1" max="8" width="6.1640625" customWidth="1"/>
    <col min="9" max="9" width="10.83203125" customWidth="1"/>
    <col min="10" max="12" width="6.1640625" customWidth="1"/>
    <col min="13" max="13" width="7.83203125" customWidth="1"/>
    <col min="14" max="20" width="6.1640625" customWidth="1"/>
  </cols>
  <sheetData>
    <row r="2" spans="1:16" x14ac:dyDescent="0.25">
      <c r="A2" s="157" t="s">
        <v>200</v>
      </c>
      <c r="B2" s="157"/>
      <c r="C2" s="157"/>
      <c r="D2" s="157"/>
      <c r="E2" s="157"/>
      <c r="F2" s="157"/>
      <c r="G2" s="157"/>
      <c r="H2" s="157"/>
      <c r="I2" s="157"/>
      <c r="J2" s="157"/>
      <c r="K2" s="157"/>
      <c r="L2" s="157"/>
      <c r="M2" s="157"/>
      <c r="N2" s="157"/>
      <c r="O2" s="157"/>
      <c r="P2" s="157"/>
    </row>
    <row r="4" spans="2:15" x14ac:dyDescent="0.25">
      <c r="B4" t="s">
        <v>201</v>
      </c>
      <c r="C4" s="378"/>
      <c r="D4" s="378"/>
      <c r="I4" s="379"/>
      <c r="J4" s="380" t="str">
        <f>CONCATENATE(DATOS!E26,"     ",DATOS!F26,"/",DATOS!G26,"/",DATOS!H26)</f>
        <v>IBAGUE     23/5/2026</v>
      </c>
      <c r="K4" s="380"/>
      <c r="L4" s="380"/>
      <c r="M4" s="380"/>
      <c r="N4" s="380"/>
      <c r="O4" s="380"/>
    </row>
    <row r="6" spans="2:13" x14ac:dyDescent="0.25">
      <c r="B6" t="s">
        <v>202</v>
      </c>
      <c r="F6" s="381" t="str">
        <f>CONCATENATE(DATOS!B3," ",DATOS!C3," ",DATOS!D3)</f>
        <v>MORENO ROZO LORENA</v>
      </c>
      <c r="G6" s="381"/>
      <c r="H6" s="381"/>
      <c r="I6" s="381"/>
      <c r="J6" s="381"/>
      <c r="K6" s="381"/>
      <c r="L6" s="381"/>
      <c r="M6" s="381"/>
    </row>
    <row r="7" spans="2:13" x14ac:dyDescent="0.25">
      <c r="B7" t="s">
        <v>203</v>
      </c>
      <c r="F7" s="381">
        <f>DATOS!B5</f>
        <v>3183023815</v>
      </c>
      <c r="G7" s="381"/>
      <c r="H7" s="381"/>
      <c r="I7" s="381"/>
      <c r="J7" s="381"/>
      <c r="K7" s="381"/>
      <c r="L7" s="381"/>
      <c r="M7" s="381"/>
    </row>
    <row r="8" spans="2:13" x14ac:dyDescent="0.25">
      <c r="B8" t="s">
        <v>204</v>
      </c>
      <c r="F8" s="381" t="str">
        <f>DATOS!B7</f>
        <v>Cr 8 sur 93 -65 conjunto Altagracia</v>
      </c>
      <c r="G8" s="381"/>
      <c r="H8" s="381"/>
      <c r="I8" s="381"/>
      <c r="J8" s="381"/>
      <c r="K8" s="381"/>
      <c r="L8" s="381"/>
      <c r="M8" s="381"/>
    </row>
    <row r="9" spans="2:13" x14ac:dyDescent="0.25">
      <c r="B9" t="s">
        <v>205</v>
      </c>
      <c r="F9" s="381">
        <f>DATOS!B5</f>
        <v>3183023815</v>
      </c>
      <c r="G9" s="381"/>
      <c r="H9" s="381"/>
      <c r="I9" s="381"/>
      <c r="J9" s="381"/>
      <c r="K9" s="381"/>
      <c r="L9" s="381"/>
      <c r="M9" s="381"/>
    </row>
    <row r="10" spans="2:13" x14ac:dyDescent="0.25">
      <c r="B10" t="s">
        <v>206</v>
      </c>
      <c r="F10" s="381" t="str">
        <f>DATOS!B6</f>
        <v>loremapamati3@gmail.com</v>
      </c>
      <c r="G10" s="381"/>
      <c r="H10" s="381"/>
      <c r="I10" s="381"/>
      <c r="J10" s="381"/>
      <c r="K10" s="381"/>
      <c r="L10" s="381"/>
      <c r="M10" s="381"/>
    </row>
    <row r="12" spans="2:13" x14ac:dyDescent="0.25">
      <c r="B12" t="s">
        <v>207</v>
      </c>
      <c r="F12" s="381" t="str">
        <f>CONCATENATE(DATOS!B11," ",DATOS!C11," ",DATOS!D11)</f>
        <v>LOAIZA IDARRAGA LUCELY</v>
      </c>
      <c r="G12" s="381"/>
      <c r="H12" s="381"/>
      <c r="I12" s="381"/>
      <c r="J12" s="381"/>
      <c r="K12" s="381"/>
      <c r="L12" s="381"/>
      <c r="M12" s="381"/>
    </row>
    <row r="13" spans="2:13" x14ac:dyDescent="0.25">
      <c r="B13" t="s">
        <v>203</v>
      </c>
      <c r="F13" s="381">
        <f>DATOS!B12</f>
        <v>52536644</v>
      </c>
      <c r="G13" s="381"/>
      <c r="H13" s="381"/>
      <c r="I13" s="381"/>
      <c r="J13" s="381"/>
      <c r="K13" s="381"/>
      <c r="L13" s="381"/>
      <c r="M13" s="381"/>
    </row>
    <row r="14" spans="2:13" x14ac:dyDescent="0.25">
      <c r="B14" t="s">
        <v>204</v>
      </c>
      <c r="F14" s="381" t="str">
        <f>DATOS!B15</f>
        <v>Mnz e casa 22 barrio entre ríos </v>
      </c>
      <c r="G14" s="381"/>
      <c r="H14" s="381"/>
      <c r="I14" s="381"/>
      <c r="J14" s="381"/>
      <c r="K14" s="381"/>
      <c r="L14" s="381"/>
      <c r="M14" s="381"/>
    </row>
    <row r="15" spans="2:13" x14ac:dyDescent="0.25">
      <c r="B15" t="s">
        <v>205</v>
      </c>
      <c r="F15" s="381">
        <f>DATOS!B13</f>
        <v>3102925585</v>
      </c>
      <c r="G15" s="381"/>
      <c r="H15" s="381"/>
      <c r="I15" s="381"/>
      <c r="J15" s="381"/>
      <c r="K15" s="381"/>
      <c r="L15" s="381"/>
      <c r="M15" s="381"/>
    </row>
    <row r="16" spans="2:13" x14ac:dyDescent="0.25">
      <c r="B16" t="s">
        <v>206</v>
      </c>
      <c r="F16" s="381" t="str">
        <f>DATOS!B14</f>
        <v>Lucelyloaiza07@gmail.com</v>
      </c>
      <c r="G16" s="381"/>
      <c r="H16" s="381"/>
      <c r="I16" s="381"/>
      <c r="J16" s="381"/>
      <c r="K16" s="381"/>
      <c r="L16" s="381"/>
      <c r="M16" s="381"/>
    </row>
    <row r="19" spans="2:2" x14ac:dyDescent="0.25">
      <c r="B19" t="s">
        <v>208</v>
      </c>
    </row>
    <row r="20" ht="6.6" customHeight="1" x14ac:dyDescent="0.25"/>
    <row r="21" spans="2:2" x14ac:dyDescent="0.25">
      <c r="B21" t="s">
        <v>209</v>
      </c>
    </row>
    <row r="22" ht="6.6" customHeight="1" x14ac:dyDescent="0.25"/>
    <row r="23" spans="2:2" x14ac:dyDescent="0.25">
      <c r="B23" s="371" t="s">
        <v>210</v>
      </c>
    </row>
    <row r="24" ht="6.6" customHeight="1" x14ac:dyDescent="0.25"/>
    <row r="25" spans="2:2" x14ac:dyDescent="0.25">
      <c r="B25" t="s">
        <v>211</v>
      </c>
    </row>
    <row r="26" ht="6.6" customHeight="1" x14ac:dyDescent="0.25"/>
    <row r="27" spans="2:2" x14ac:dyDescent="0.25">
      <c r="B27" t="s">
        <v>212</v>
      </c>
    </row>
    <row r="29" spans="2:13" x14ac:dyDescent="0.25">
      <c r="B29" t="s">
        <v>213</v>
      </c>
      <c r="F29" s="381" t="str">
        <f>DATOS!B19</f>
        <v>GRV119</v>
      </c>
      <c r="G29" s="381"/>
      <c r="H29" s="381"/>
      <c r="I29" s="381"/>
      <c r="J29" s="381"/>
      <c r="K29" s="381"/>
      <c r="L29" s="381"/>
      <c r="M29" s="381"/>
    </row>
    <row r="30" spans="2:13" x14ac:dyDescent="0.25">
      <c r="B30" t="s">
        <v>214</v>
      </c>
      <c r="F30" s="381">
        <f>DATOS!B20</f>
        <v>2020</v>
      </c>
      <c r="G30" s="381"/>
      <c r="H30" s="381"/>
      <c r="I30" s="381"/>
      <c r="J30" s="381"/>
      <c r="K30" s="381"/>
      <c r="L30" s="381"/>
      <c r="M30" s="381"/>
    </row>
    <row r="31" spans="2:13" x14ac:dyDescent="0.25">
      <c r="B31" t="s">
        <v>215</v>
      </c>
      <c r="F31" s="381" t="str">
        <f>DATOS!B21</f>
        <v>AUTOMOVIL</v>
      </c>
      <c r="G31" s="381"/>
      <c r="H31" s="381"/>
      <c r="I31" s="381"/>
      <c r="J31" s="381"/>
      <c r="K31" s="381"/>
      <c r="L31" s="381"/>
      <c r="M31" s="381"/>
    </row>
    <row r="32" spans="2:13" x14ac:dyDescent="0.25">
      <c r="B32" t="s">
        <v>216</v>
      </c>
      <c r="F32" s="381" t="str">
        <f>DATOS!B22</f>
        <v>RENAULT</v>
      </c>
      <c r="G32" s="381"/>
      <c r="H32" s="381"/>
      <c r="I32" s="381"/>
      <c r="J32" s="381"/>
      <c r="K32" s="381"/>
      <c r="L32" s="381"/>
      <c r="M32" s="381"/>
    </row>
    <row r="33" spans="2:13" x14ac:dyDescent="0.25">
      <c r="B33" t="s">
        <v>217</v>
      </c>
      <c r="F33" s="381" t="str">
        <f>DATOS!B23</f>
        <v>SANDERO</v>
      </c>
      <c r="G33" s="381"/>
      <c r="H33" s="381"/>
      <c r="I33" s="381"/>
      <c r="J33" s="381"/>
      <c r="K33" s="381"/>
      <c r="L33" s="381"/>
      <c r="M33" s="381"/>
    </row>
    <row r="34" spans="2:13" x14ac:dyDescent="0.25">
      <c r="B34" t="s">
        <v>218</v>
      </c>
      <c r="F34" s="381" t="str">
        <f>DATOS!B24</f>
        <v>ROJO FUEGO</v>
      </c>
      <c r="G34" s="381"/>
      <c r="H34" s="381"/>
      <c r="I34" s="381"/>
      <c r="J34" s="381"/>
      <c r="K34" s="381"/>
      <c r="L34" s="381"/>
      <c r="M34" s="381"/>
    </row>
    <row r="35" spans="2:13" x14ac:dyDescent="0.25">
      <c r="B35" t="s">
        <v>219</v>
      </c>
      <c r="F35" s="381">
        <f>DATOS!B25</f>
        <v>5</v>
      </c>
      <c r="G35" s="381"/>
      <c r="H35" s="381"/>
      <c r="I35" s="381"/>
      <c r="J35" s="381"/>
      <c r="K35" s="381"/>
      <c r="L35" s="381"/>
      <c r="M35" s="381"/>
    </row>
    <row r="36" spans="2:13" x14ac:dyDescent="0.25">
      <c r="B36" t="s">
        <v>220</v>
      </c>
      <c r="F36" s="381" t="str">
        <f>DATOS!B26</f>
        <v>PARTICULAR</v>
      </c>
      <c r="G36" s="381"/>
      <c r="H36" s="381"/>
      <c r="I36" s="381"/>
      <c r="J36" s="381"/>
      <c r="K36" s="381"/>
      <c r="L36" s="381"/>
      <c r="M36" s="381"/>
    </row>
    <row r="37" spans="2:13" x14ac:dyDescent="0.25">
      <c r="B37" t="s">
        <v>221</v>
      </c>
      <c r="F37" s="381" t="str">
        <f>DATOS!B27</f>
        <v>A812UF91875</v>
      </c>
      <c r="G37" s="381"/>
      <c r="H37" s="381"/>
      <c r="I37" s="381"/>
      <c r="J37" s="381"/>
      <c r="K37" s="381"/>
      <c r="L37" s="381"/>
      <c r="M37" s="381"/>
    </row>
    <row r="38" spans="2:13" x14ac:dyDescent="0.25">
      <c r="B38" s="371" t="s">
        <v>222</v>
      </c>
      <c r="F38" s="381" t="str">
        <f>DATOS!B29</f>
        <v>9FB5SREB4LM325716</v>
      </c>
      <c r="G38" s="381"/>
      <c r="H38" s="381"/>
      <c r="I38" s="381"/>
      <c r="J38" s="381"/>
      <c r="K38" s="381"/>
      <c r="L38" s="381"/>
      <c r="M38" s="381"/>
    </row>
    <row r="41" spans="2:2" x14ac:dyDescent="0.25">
      <c r="B41" s="371" t="s">
        <v>223</v>
      </c>
    </row>
    <row r="42" ht="4.9" customHeight="1" x14ac:dyDescent="0.25"/>
    <row r="43" spans="2:16" x14ac:dyDescent="0.25">
      <c r="B43" s="380">
        <f>DATOS!B40</f>
        <v>30000000</v>
      </c>
      <c r="C43" s="380"/>
      <c r="D43" s="380"/>
      <c r="E43" s="380"/>
      <c r="F43" s="380"/>
      <c r="G43" s="380"/>
      <c r="H43" s="380"/>
      <c r="I43" s="380"/>
      <c r="J43" s="380"/>
      <c r="K43" s="380"/>
      <c r="L43" s="380"/>
      <c r="M43" s="380"/>
      <c r="N43" s="380"/>
      <c r="O43" s="380"/>
      <c r="P43" s="380"/>
    </row>
    <row r="45" spans="2:2" x14ac:dyDescent="0.25">
      <c r="B45" s="371" t="s">
        <v>224</v>
      </c>
    </row>
    <row r="46" ht="4.15" customHeight="1" x14ac:dyDescent="0.25"/>
    <row r="47" spans="2:16" x14ac:dyDescent="0.25">
      <c r="B47" t="s">
        <v>225</v>
      </c>
      <c r="K47" s="380" t="str">
        <f>DATOS!B41</f>
        <v>EFCTIVO</v>
      </c>
      <c r="L47" s="380"/>
      <c r="M47" s="380"/>
      <c r="N47" s="380"/>
      <c r="O47" s="380"/>
      <c r="P47" s="380"/>
    </row>
    <row r="48" ht="6.6" customHeight="1" x14ac:dyDescent="0.25"/>
    <row r="49" spans="2:16" x14ac:dyDescent="0.25">
      <c r="B49" s="380"/>
      <c r="C49" s="380"/>
      <c r="D49" s="380"/>
      <c r="E49" s="380"/>
      <c r="F49" s="380"/>
      <c r="G49" s="380"/>
      <c r="H49" s="380"/>
      <c r="I49" s="380"/>
      <c r="J49" s="380"/>
      <c r="K49" s="380"/>
      <c r="L49" s="380"/>
      <c r="M49" s="380"/>
      <c r="N49" s="380"/>
      <c r="O49" s="380"/>
      <c r="P49" s="380"/>
    </row>
    <row r="51" spans="2:2" x14ac:dyDescent="0.25">
      <c r="B51" s="371" t="s">
        <v>226</v>
      </c>
    </row>
    <row r="52" ht="6.6" customHeight="1" x14ac:dyDescent="0.25"/>
    <row r="53" spans="2:2" x14ac:dyDescent="0.25">
      <c r="B53" t="s">
        <v>227</v>
      </c>
    </row>
    <row r="54" ht="6.6" customHeight="1" x14ac:dyDescent="0.25"/>
    <row r="55" spans="2:2" x14ac:dyDescent="0.25">
      <c r="B55" t="s">
        <v>228</v>
      </c>
    </row>
    <row r="56" ht="6.6" customHeight="1" x14ac:dyDescent="0.25"/>
    <row r="57" spans="2:2" x14ac:dyDescent="0.25">
      <c r="B57" t="s">
        <v>229</v>
      </c>
    </row>
    <row r="61" spans="23:23" x14ac:dyDescent="0.25">
      <c r="W61" s="371"/>
    </row>
    <row r="62" spans="2:10" x14ac:dyDescent="0.25">
      <c r="B62" s="371" t="s">
        <v>230</v>
      </c>
      <c r="H62" s="380" t="str">
        <f>CONCATENATE(DATOS!F26,"/",DATOS!G26,"/",DATOS!H26)</f>
        <v>23/5/2026</v>
      </c>
      <c r="I62" s="380"/>
      <c r="J62" s="371" t="s">
        <v>231</v>
      </c>
    </row>
    <row r="63" ht="4.9" customHeight="1" x14ac:dyDescent="0.25"/>
    <row r="64" spans="2:2" x14ac:dyDescent="0.25">
      <c r="B64" s="371" t="s">
        <v>232</v>
      </c>
    </row>
    <row r="65" ht="4.9" customHeight="1" x14ac:dyDescent="0.25"/>
    <row r="66" spans="2:2" x14ac:dyDescent="0.25">
      <c r="B66" s="371" t="s">
        <v>233</v>
      </c>
    </row>
    <row r="68" spans="2:2" x14ac:dyDescent="0.25">
      <c r="B68" s="371" t="s">
        <v>234</v>
      </c>
    </row>
    <row r="69" ht="5.45" customHeight="1" x14ac:dyDescent="0.25"/>
    <row r="70" spans="2:22" x14ac:dyDescent="0.25">
      <c r="B70" s="371" t="s">
        <v>235</v>
      </c>
      <c r="O70" s="382" t="str">
        <f>DATOS!B19</f>
        <v>GRV119</v>
      </c>
      <c r="P70" s="382"/>
      <c r="U70" s="371"/>
      <c r="V70" s="371"/>
    </row>
    <row r="71" ht="4.9" customHeight="1" x14ac:dyDescent="0.25"/>
    <row r="72" spans="2:2" x14ac:dyDescent="0.25">
      <c r="B72" s="371" t="s">
        <v>236</v>
      </c>
    </row>
    <row r="73" ht="4.9" customHeight="1" x14ac:dyDescent="0.25"/>
    <row r="74" spans="2:2" x14ac:dyDescent="0.25">
      <c r="B74" s="371" t="s">
        <v>237</v>
      </c>
    </row>
    <row r="76" spans="2:2" x14ac:dyDescent="0.25">
      <c r="B76" s="371" t="s">
        <v>238</v>
      </c>
    </row>
    <row r="77" ht="4.9" customHeight="1" x14ac:dyDescent="0.25"/>
    <row r="78" spans="2:2" x14ac:dyDescent="0.25">
      <c r="B78" s="371" t="s">
        <v>239</v>
      </c>
    </row>
    <row r="80" spans="2:2" x14ac:dyDescent="0.25">
      <c r="B80" s="371" t="s">
        <v>240</v>
      </c>
    </row>
    <row r="81" ht="4.15" customHeight="1" x14ac:dyDescent="0.25"/>
    <row r="82" spans="2:2" x14ac:dyDescent="0.25">
      <c r="B82" s="371" t="s">
        <v>241</v>
      </c>
    </row>
    <row r="83" ht="3.6" customHeight="1" x14ac:dyDescent="0.25"/>
    <row r="84" spans="2:2" x14ac:dyDescent="0.25">
      <c r="B84" s="371" t="s">
        <v>242</v>
      </c>
    </row>
    <row r="85" ht="4.9" customHeight="1" x14ac:dyDescent="0.25"/>
    <row r="86" spans="2:2" x14ac:dyDescent="0.25">
      <c r="B86" s="371" t="s">
        <v>243</v>
      </c>
    </row>
    <row r="88" spans="2:2" x14ac:dyDescent="0.25">
      <c r="B88" s="371" t="s">
        <v>244</v>
      </c>
    </row>
    <row r="89" ht="4.9" customHeight="1" x14ac:dyDescent="0.25"/>
    <row r="90" spans="2:2" x14ac:dyDescent="0.25">
      <c r="B90" s="371" t="s">
        <v>245</v>
      </c>
    </row>
    <row r="91" ht="4.9" customHeight="1" x14ac:dyDescent="0.25"/>
    <row r="92" spans="2:8" x14ac:dyDescent="0.25">
      <c r="B92" t="s">
        <v>246</v>
      </c>
      <c r="D92" s="383" t="str">
        <f>DATOS!B44</f>
        <v>3,000,000</v>
      </c>
      <c r="E92" s="383"/>
      <c r="F92" s="383"/>
      <c r="G92" s="383"/>
      <c r="H92" s="371" t="s">
        <v>247</v>
      </c>
    </row>
    <row r="94" spans="2:2" x14ac:dyDescent="0.25">
      <c r="B94" s="371" t="s">
        <v>248</v>
      </c>
    </row>
    <row r="95" ht="2.45" customHeight="1" x14ac:dyDescent="0.25"/>
    <row r="96" spans="2:2" x14ac:dyDescent="0.25">
      <c r="B96" s="371" t="s">
        <v>249</v>
      </c>
    </row>
    <row r="99" spans="2:2" x14ac:dyDescent="0.25">
      <c r="B99" s="371" t="s">
        <v>250</v>
      </c>
    </row>
    <row r="100" ht="2.45" customHeight="1" x14ac:dyDescent="0.25"/>
    <row r="101" spans="2:12" x14ac:dyDescent="0.25">
      <c r="B101" s="371" t="s">
        <v>251</v>
      </c>
      <c r="J101" s="380" t="str">
        <f>CONCATENATE(DATOS!F26,"/",DATOS!G26,"/",DATOS!H26)</f>
        <v>23/5/2026</v>
      </c>
      <c r="K101" s="380"/>
      <c r="L101" s="380"/>
    </row>
    <row r="106" spans="2:10" x14ac:dyDescent="0.25">
      <c r="B106" s="371" t="s">
        <v>252</v>
      </c>
      <c r="J106" s="371" t="s">
        <v>253</v>
      </c>
    </row>
    <row r="114" spans="2:15" x14ac:dyDescent="0.25">
      <c r="B114" s="384"/>
      <c r="C114" s="384"/>
      <c r="D114" s="384"/>
      <c r="E114" s="384"/>
      <c r="F114" s="384"/>
      <c r="G114" s="384"/>
      <c r="J114" s="384"/>
      <c r="K114" s="384"/>
      <c r="L114" s="384"/>
      <c r="M114" s="384"/>
      <c r="N114" s="384"/>
      <c r="O114" s="384"/>
    </row>
    <row r="115" spans="2:10" x14ac:dyDescent="0.25">
      <c r="B115" s="371" t="s">
        <v>254</v>
      </c>
      <c r="J115" s="371" t="s">
        <v>254</v>
      </c>
    </row>
    <row r="117" spans="2:10" x14ac:dyDescent="0.25">
      <c r="B117" s="371" t="s">
        <v>198</v>
      </c>
      <c r="J117" s="371" t="s">
        <v>198</v>
      </c>
    </row>
  </sheetData>
  <sheetProtection sheet="1" algorithmName="SHA-512" hashValue="3VLuWQLVFLmvZo1Cfu8NpbeWpLIfcgq7mA50DBopWBkEqnTrlQiLz39g+xx9axH63RRrPz5hNkV3UqjFGBk1Hg==" saltValue="rzypGKlA9ODz7OgQHi6x/g==" spinCount="100000" objects="1" scenarios="1"/>
  <mergeCells count="29">
    <mergeCell ref="A2:P2"/>
    <mergeCell ref="J4:O4"/>
    <mergeCell ref="F6:M6"/>
    <mergeCell ref="F7:M7"/>
    <mergeCell ref="F8:M8"/>
    <mergeCell ref="F9:M9"/>
    <mergeCell ref="F10:M10"/>
    <mergeCell ref="F12:M12"/>
    <mergeCell ref="F13:M13"/>
    <mergeCell ref="F14:M14"/>
    <mergeCell ref="F15:M15"/>
    <mergeCell ref="F16:M16"/>
    <mergeCell ref="F29:M29"/>
    <mergeCell ref="F30:M30"/>
    <mergeCell ref="F31:M31"/>
    <mergeCell ref="F32:M32"/>
    <mergeCell ref="F33:M33"/>
    <mergeCell ref="F34:M34"/>
    <mergeCell ref="F35:M35"/>
    <mergeCell ref="F36:M36"/>
    <mergeCell ref="F37:M37"/>
    <mergeCell ref="F38:M38"/>
    <mergeCell ref="B43:P43"/>
    <mergeCell ref="K47:P47"/>
    <mergeCell ref="B49:P49"/>
    <mergeCell ref="H62:I62"/>
    <mergeCell ref="O70:P70"/>
    <mergeCell ref="D92:G92"/>
    <mergeCell ref="J101:L101"/>
  </mergeCells>
  <pageMargins left="0.25" right="0.25" top="0.75" bottom="0.75" header="0.3" footer="0.3"/>
  <pageSetup orientation="portrait" horizontalDpi="0" verticalDpi="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4"/>
  <sheetViews>
    <sheetView workbookViewId="0" zoomScale="100" zoomScaleNormal="100">
      <selection activeCell="G4" sqref="G4"/>
    </sheetView>
  </sheetViews>
  <sheetFormatPr defaultRowHeight="12.75" outlineLevelRow="0" outlineLevelCol="0" x14ac:dyDescent="0.2" defaultColWidth="11.5" customHeight="1"/>
  <cols>
    <col min="1" max="1" width="21.1640625" customWidth="1"/>
    <col min="2" max="2" width="17.6640625" style="385" customWidth="1"/>
    <col min="3" max="3" width="12" style="385" customWidth="1"/>
    <col min="4" max="4" width="25.83203125" style="385" customWidth="1"/>
    <col min="5" max="6" width="11.5" style="385" customWidth="1"/>
    <col min="7" max="7" width="13.83203125" style="385" customWidth="1"/>
    <col min="8" max="16384" width="11.5" style="385" customWidth="1"/>
  </cols>
  <sheetData>
    <row r="1" ht="13.15" customHeight="1" spans="1:12" x14ac:dyDescent="0.25">
      <c r="A1" t="s">
        <v>255</v>
      </c>
      <c r="E1" s="386" t="s">
        <v>256</v>
      </c>
      <c r="F1" s="386" t="s">
        <v>18</v>
      </c>
      <c r="G1" s="386" t="s">
        <v>257</v>
      </c>
      <c r="H1" s="386" t="s">
        <v>258</v>
      </c>
      <c r="I1" s="386" t="s">
        <v>259</v>
      </c>
      <c r="J1" s="386" t="s">
        <v>260</v>
      </c>
      <c r="K1" s="387"/>
      <c r="L1" s="387"/>
    </row>
    <row r="2" spans="1:12" x14ac:dyDescent="0.25">
      <c r="A2" s="388" t="s">
        <v>252</v>
      </c>
      <c r="B2" t="s">
        <v>261</v>
      </c>
      <c r="C2" t="s">
        <v>262</v>
      </c>
      <c r="D2" t="s">
        <v>4</v>
      </c>
      <c r="E2" s="389"/>
      <c r="F2" s="389"/>
      <c r="G2" s="389"/>
      <c r="H2" s="389"/>
      <c r="I2" s="389"/>
      <c r="J2" s="389"/>
      <c r="K2" s="387"/>
      <c r="L2" s="387"/>
    </row>
    <row r="3" ht="13.5" customHeight="1" spans="1:12" x14ac:dyDescent="0.25">
      <c r="A3" t="s">
        <v>4</v>
      </c>
      <c r="B3" s="390"/>
      <c r="C3" s="390"/>
      <c r="D3" s="390"/>
      <c r="E3" s="391"/>
      <c r="F3" s="391"/>
      <c r="G3" s="391"/>
      <c r="H3" s="391"/>
      <c r="I3" s="391"/>
      <c r="J3" s="391"/>
      <c r="K3" s="387"/>
      <c r="L3" s="387"/>
    </row>
    <row r="4" ht="13.5" customHeight="1" spans="1:10" x14ac:dyDescent="0.25">
      <c r="A4" t="s">
        <v>263</v>
      </c>
      <c r="B4" s="385"/>
      <c r="E4" s="392"/>
      <c r="F4" s="393"/>
      <c r="G4" s="394"/>
      <c r="H4" s="394"/>
      <c r="I4" s="394"/>
      <c r="J4" s="395"/>
    </row>
    <row r="5" ht="13.15" customHeight="1" spans="1:12" x14ac:dyDescent="0.25">
      <c r="A5" t="s">
        <v>264</v>
      </c>
      <c r="B5" s="385"/>
      <c r="E5" s="386" t="s">
        <v>265</v>
      </c>
      <c r="F5" s="386" t="s">
        <v>266</v>
      </c>
      <c r="G5" s="386" t="s">
        <v>267</v>
      </c>
      <c r="H5" s="386" t="s">
        <v>268</v>
      </c>
      <c r="I5" s="386" t="s">
        <v>269</v>
      </c>
      <c r="J5" s="386" t="s">
        <v>270</v>
      </c>
      <c r="K5" s="387"/>
      <c r="L5" s="387"/>
    </row>
    <row r="6" spans="1:13" x14ac:dyDescent="0.25">
      <c r="A6" t="s">
        <v>271</v>
      </c>
      <c r="B6" s="390"/>
      <c r="E6" s="389"/>
      <c r="F6" s="389"/>
      <c r="G6" s="389"/>
      <c r="H6" s="389"/>
      <c r="I6" s="389"/>
      <c r="J6" s="389"/>
      <c r="K6" s="387"/>
      <c r="L6" s="387"/>
      <c r="M6" s="390"/>
    </row>
    <row r="7" ht="13.5" customHeight="1" spans="1:13" x14ac:dyDescent="0.25">
      <c r="A7" t="s">
        <v>109</v>
      </c>
      <c r="B7" s="390"/>
      <c r="E7" s="391"/>
      <c r="F7" s="391"/>
      <c r="G7" s="391"/>
      <c r="H7" s="391"/>
      <c r="I7" s="391"/>
      <c r="J7" s="391"/>
      <c r="K7" s="387"/>
      <c r="L7" s="387"/>
      <c r="M7" s="390"/>
    </row>
    <row r="8" ht="13.5" customHeight="1" spans="1:13" x14ac:dyDescent="0.25">
      <c r="A8" t="s">
        <v>272</v>
      </c>
      <c r="B8" s="390"/>
      <c r="E8" s="396"/>
      <c r="F8" s="394"/>
      <c r="G8" s="394"/>
      <c r="H8" s="394"/>
      <c r="I8" s="394"/>
      <c r="J8" s="395"/>
      <c r="M8" s="390"/>
    </row>
    <row r="9" spans="5:12" x14ac:dyDescent="0.25">
      <c r="E9" s="386" t="s">
        <v>273</v>
      </c>
      <c r="F9" s="386" t="s">
        <v>274</v>
      </c>
      <c r="G9" s="386" t="s">
        <v>275</v>
      </c>
      <c r="H9" s="386" t="s">
        <v>43</v>
      </c>
      <c r="I9" s="386" t="s">
        <v>276</v>
      </c>
      <c r="J9" s="386" t="s">
        <v>45</v>
      </c>
      <c r="K9" s="387"/>
      <c r="L9" s="387"/>
    </row>
    <row r="10" spans="1:12" x14ac:dyDescent="0.25">
      <c r="A10" s="397" t="s">
        <v>253</v>
      </c>
      <c r="B10" t="s">
        <v>261</v>
      </c>
      <c r="C10" t="s">
        <v>262</v>
      </c>
      <c r="D10" t="s">
        <v>4</v>
      </c>
      <c r="E10" s="389"/>
      <c r="F10" s="389"/>
      <c r="G10" s="389"/>
      <c r="H10" s="389"/>
      <c r="I10" s="389"/>
      <c r="J10" s="389"/>
      <c r="K10" s="387"/>
      <c r="L10" s="387"/>
    </row>
    <row r="11" ht="13.5" customHeight="1" spans="1:15" x14ac:dyDescent="0.25">
      <c r="A11" t="s">
        <v>4</v>
      </c>
      <c r="B11" s="390"/>
      <c r="C11" s="390"/>
      <c r="D11" s="390"/>
      <c r="E11" s="391"/>
      <c r="F11" s="391"/>
      <c r="G11" s="391"/>
      <c r="H11" s="391"/>
      <c r="I11" s="391"/>
      <c r="J11" s="391"/>
      <c r="K11" s="387"/>
      <c r="L11" s="387"/>
      <c r="M11" s="390"/>
      <c r="N11" s="390"/>
      <c r="O11" s="390"/>
    </row>
    <row r="12" ht="13.5" customHeight="1" spans="1:10" x14ac:dyDescent="0.25">
      <c r="A12" t="s">
        <v>263</v>
      </c>
      <c r="B12" s="385"/>
      <c r="E12" s="398"/>
      <c r="F12" s="399"/>
      <c r="G12" s="399"/>
      <c r="H12" s="399"/>
      <c r="I12" s="399"/>
      <c r="J12" s="400"/>
    </row>
    <row r="13" spans="1:2" x14ac:dyDescent="0.25">
      <c r="A13" t="s">
        <v>264</v>
      </c>
      <c r="B13" s="385"/>
    </row>
    <row r="14" spans="1:13" x14ac:dyDescent="0.25">
      <c r="A14" t="s">
        <v>271</v>
      </c>
      <c r="B14" s="401"/>
      <c r="M14" s="401"/>
    </row>
    <row r="15" spans="1:13" x14ac:dyDescent="0.25">
      <c r="A15" t="s">
        <v>109</v>
      </c>
      <c r="B15" s="390"/>
      <c r="M15" s="390"/>
    </row>
    <row r="16" spans="1:13" x14ac:dyDescent="0.25">
      <c r="A16" t="s">
        <v>272</v>
      </c>
      <c r="B16" s="390"/>
      <c r="M16" s="390"/>
    </row>
    <row r="17" ht="13.5" customHeight="1" x14ac:dyDescent="0.25"/>
    <row r="18" ht="13.5" customHeight="1" spans="1:11" x14ac:dyDescent="0.25">
      <c r="A18" s="402" t="s">
        <v>277</v>
      </c>
      <c r="B18" s="403"/>
      <c r="C18" s="390" t="s">
        <v>5</v>
      </c>
      <c r="D18" s="390" t="s">
        <v>278</v>
      </c>
      <c r="E18" s="404" t="s">
        <v>279</v>
      </c>
      <c r="F18" s="405"/>
      <c r="G18" s="405"/>
      <c r="H18" s="405"/>
      <c r="I18" s="405"/>
      <c r="J18" s="405"/>
      <c r="K18" s="406"/>
    </row>
    <row r="19" spans="1:11" x14ac:dyDescent="0.25">
      <c r="A19" t="s">
        <v>213</v>
      </c>
      <c r="B19" s="407"/>
      <c r="C19" s="390"/>
      <c r="D19" s="385"/>
      <c r="E19" s="408" t="s">
        <v>54</v>
      </c>
      <c r="F19" s="408" t="s">
        <v>55</v>
      </c>
      <c r="G19" s="408" t="s">
        <v>56</v>
      </c>
      <c r="H19" s="408" t="s">
        <v>280</v>
      </c>
      <c r="I19" s="408" t="s">
        <v>58</v>
      </c>
      <c r="J19" s="408" t="s">
        <v>59</v>
      </c>
      <c r="K19" s="408" t="s">
        <v>60</v>
      </c>
    </row>
    <row r="20" spans="1:11" x14ac:dyDescent="0.25">
      <c r="A20" t="s">
        <v>214</v>
      </c>
      <c r="B20" s="407"/>
      <c r="E20" s="409"/>
      <c r="F20" s="410"/>
      <c r="G20" s="410"/>
      <c r="H20" s="410"/>
      <c r="I20" s="410"/>
      <c r="J20" s="410"/>
      <c r="K20" s="410"/>
    </row>
    <row r="21" spans="1:11" x14ac:dyDescent="0.25">
      <c r="A21" t="s">
        <v>215</v>
      </c>
      <c r="B21" s="407"/>
      <c r="E21" s="411" t="s">
        <v>281</v>
      </c>
      <c r="F21" s="411" t="s">
        <v>65</v>
      </c>
      <c r="G21" s="411" t="s">
        <v>282</v>
      </c>
      <c r="H21" s="411" t="s">
        <v>283</v>
      </c>
      <c r="I21" s="411" t="s">
        <v>284</v>
      </c>
      <c r="J21" s="411" t="s">
        <v>69</v>
      </c>
      <c r="K21" s="411" t="s">
        <v>285</v>
      </c>
    </row>
    <row r="22" spans="1:11" x14ac:dyDescent="0.25">
      <c r="A22" t="s">
        <v>216</v>
      </c>
      <c r="B22" s="412"/>
      <c r="E22" s="413"/>
      <c r="F22" s="409"/>
      <c r="G22" s="410"/>
      <c r="H22" s="410"/>
      <c r="I22" s="410"/>
      <c r="J22" s="410"/>
      <c r="K22" s="410"/>
    </row>
    <row r="23" spans="1:2" x14ac:dyDescent="0.25">
      <c r="A23" t="s">
        <v>217</v>
      </c>
      <c r="B23" s="414"/>
    </row>
    <row r="24" spans="1:2" x14ac:dyDescent="0.25">
      <c r="A24" t="s">
        <v>218</v>
      </c>
      <c r="B24" s="414"/>
    </row>
    <row r="25" spans="1:8" x14ac:dyDescent="0.25">
      <c r="A25" t="s">
        <v>219</v>
      </c>
      <c r="B25" s="385"/>
      <c r="E25" s="371" t="s">
        <v>286</v>
      </c>
      <c r="F25" s="371" t="s">
        <v>10</v>
      </c>
      <c r="G25" s="371" t="s">
        <v>287</v>
      </c>
      <c r="H25" s="371" t="s">
        <v>12</v>
      </c>
    </row>
    <row r="26" spans="1:8" x14ac:dyDescent="0.25">
      <c r="A26" t="s">
        <v>220</v>
      </c>
      <c r="B26" s="385"/>
      <c r="E26" s="390"/>
      <c r="F26" s="385"/>
      <c r="G26" s="385"/>
      <c r="H26" s="385"/>
    </row>
    <row r="27" spans="1:2" x14ac:dyDescent="0.25">
      <c r="A27" t="s">
        <v>221</v>
      </c>
      <c r="B27" s="412"/>
    </row>
    <row r="28" ht="25.5" customHeight="1" spans="1:2" x14ac:dyDescent="0.25">
      <c r="A28" t="s">
        <v>288</v>
      </c>
      <c r="B28" s="412"/>
    </row>
    <row r="29" ht="25.5" customHeight="1" spans="1:8" x14ac:dyDescent="0.25">
      <c r="A29" t="s">
        <v>188</v>
      </c>
      <c r="B29" s="412"/>
      <c r="H29" s="385" t="str">
        <f>IF(F4="X",G9,"REVISE")</f>
        <v>DUPLICADO
DE PLACAS</v>
      </c>
    </row>
    <row r="30" ht="25.5" customHeight="1" spans="1:2" x14ac:dyDescent="0.25">
      <c r="A30" t="s">
        <v>289</v>
      </c>
      <c r="B30" s="412"/>
    </row>
    <row r="31" spans="1:2" x14ac:dyDescent="0.25">
      <c r="A31" t="s">
        <v>290</v>
      </c>
      <c r="B31" s="407"/>
    </row>
    <row r="32" spans="1:2" x14ac:dyDescent="0.25">
      <c r="A32" t="s">
        <v>291</v>
      </c>
      <c r="B32" s="390"/>
    </row>
    <row r="33" spans="1:2" x14ac:dyDescent="0.25">
      <c r="A33" s="371" t="s">
        <v>292</v>
      </c>
      <c r="B33" s="390"/>
    </row>
    <row r="34" spans="1:2" x14ac:dyDescent="0.25">
      <c r="A34" s="371" t="s">
        <v>290</v>
      </c>
      <c r="B34" s="390"/>
    </row>
    <row r="39" spans="1:1" x14ac:dyDescent="0.25">
      <c r="A39" t="s">
        <v>293</v>
      </c>
    </row>
    <row r="40" spans="1:2" x14ac:dyDescent="0.25">
      <c r="A40" t="s">
        <v>294</v>
      </c>
      <c r="B40" s="390"/>
    </row>
    <row r="41" spans="1:2" x14ac:dyDescent="0.25">
      <c r="A41" t="s">
        <v>295</v>
      </c>
      <c r="B41" s="390"/>
    </row>
    <row r="42" spans="1:1" x14ac:dyDescent="0.25">
      <c r="A42" t="s">
        <v>296</v>
      </c>
    </row>
    <row r="43" spans="1:2" x14ac:dyDescent="0.25">
      <c r="A43" t="s">
        <v>297</v>
      </c>
      <c r="B43" s="390"/>
    </row>
    <row r="44" spans="1:2" x14ac:dyDescent="0.25">
      <c r="A44" s="371" t="s">
        <v>298</v>
      </c>
      <c r="B44" s="390"/>
    </row>
  </sheetData>
  <sheetProtection sheet="1" algorithmName="SHA-512" hashValue="8RrwDJiiMtgq/70zyEQ98sOW/yz2kQDdwius8W+porcdrpxah5RGrZMPZCFEVp8Kc2ePhk7skLFw6xuSTj7iTg==" saltValue="u/aJEZNbQ4XJlCfCf6T/nQ==" spinCount="100000" objects="1" scenarios="1"/>
  <mergeCells count="25">
    <mergeCell ref="E1:E3"/>
    <mergeCell ref="F1:F3"/>
    <mergeCell ref="G1:G3"/>
    <mergeCell ref="H1:H3"/>
    <mergeCell ref="I1:I3"/>
    <mergeCell ref="J1:J3"/>
    <mergeCell ref="K1:K3"/>
    <mergeCell ref="L1:L3"/>
    <mergeCell ref="E5:E7"/>
    <mergeCell ref="F5:F7"/>
    <mergeCell ref="G5:G7"/>
    <mergeCell ref="H5:H7"/>
    <mergeCell ref="I5:I7"/>
    <mergeCell ref="J5:J7"/>
    <mergeCell ref="K5:K7"/>
    <mergeCell ref="L5:L7"/>
    <mergeCell ref="E9:E11"/>
    <mergeCell ref="F9:F11"/>
    <mergeCell ref="G9:G11"/>
    <mergeCell ref="H9:H11"/>
    <mergeCell ref="I9:I11"/>
    <mergeCell ref="J9:J11"/>
    <mergeCell ref="K9:K11"/>
    <mergeCell ref="L9:L11"/>
    <mergeCell ref="E18:K18"/>
  </mergeCells>
  <pageMargins left="0.7" right="0.7" top="0.75" bottom="0.75" header="0.3" footer="0.3"/>
  <pageSetup paperSize="9" orientation="portrait" horizontalDpi="0" verticalDpi="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H28"/>
  <sheetViews>
    <sheetView workbookViewId="0" zoomScale="100" zoomScaleNormal="100">
      <selection activeCell="I5" sqref="I5"/>
    </sheetView>
  </sheetViews>
  <sheetFormatPr defaultRowHeight="12.75" outlineLevelRow="0" outlineLevelCol="0" x14ac:dyDescent="0.2" defaultColWidth="14" customHeight="1"/>
  <cols>
    <col min="1" max="1" width="14" style="1" customWidth="1"/>
    <col min="3" max="3" width="9.5" customWidth="1"/>
    <col min="4" max="4" width="27.33203125" customWidth="1"/>
    <col min="5" max="5" width="9.5" customWidth="1"/>
  </cols>
  <sheetData>
    <row r="6" spans="1:4" x14ac:dyDescent="0.25">
      <c r="A6" s="415" t="s">
        <v>299</v>
      </c>
      <c r="B6" s="415"/>
      <c r="C6" s="415"/>
      <c r="D6" s="415"/>
    </row>
    <row r="7" spans="1:8" x14ac:dyDescent="0.25">
      <c r="A7" s="415"/>
      <c r="B7" s="415"/>
      <c r="C7" s="415"/>
      <c r="D7" s="415"/>
      <c r="H7" t="s">
        <v>300</v>
      </c>
    </row>
    <row r="8" spans="1:8" x14ac:dyDescent="0.25">
      <c r="A8" s="1" t="s">
        <v>301</v>
      </c>
      <c r="B8" s="379"/>
      <c r="D8" t="s">
        <v>302</v>
      </c>
      <c r="H8" t="s">
        <v>303</v>
      </c>
    </row>
    <row r="9" spans="1:8" x14ac:dyDescent="0.25">
      <c r="A9" s="1" t="s">
        <v>304</v>
      </c>
      <c r="B9" s="379"/>
      <c r="D9" t="s">
        <v>305</v>
      </c>
      <c r="H9" t="s">
        <v>305</v>
      </c>
    </row>
    <row r="10" spans="1:5" x14ac:dyDescent="0.25">
      <c r="A10" s="1" t="s">
        <v>306</v>
      </c>
      <c r="B10" s="379"/>
      <c r="D10" t="s">
        <v>307</v>
      </c>
    </row>
    <row r="11" spans="1:4" x14ac:dyDescent="0.25">
      <c r="A11" s="1" t="s">
        <v>308</v>
      </c>
      <c r="B11" s="379"/>
      <c r="D11" t="s">
        <v>309</v>
      </c>
    </row>
    <row r="12" spans="1:4" x14ac:dyDescent="0.25">
      <c r="A12" s="1" t="s">
        <v>310</v>
      </c>
      <c r="B12" s="379"/>
      <c r="D12" t="s">
        <v>311</v>
      </c>
    </row>
    <row r="13" spans="1:4" x14ac:dyDescent="0.25">
      <c r="A13" s="1" t="s">
        <v>312</v>
      </c>
      <c r="B13" s="379"/>
      <c r="D13" t="s">
        <v>313</v>
      </c>
    </row>
    <row r="14" spans="1:4" x14ac:dyDescent="0.25">
      <c r="A14" s="1" t="s">
        <v>314</v>
      </c>
      <c r="B14" s="379"/>
      <c r="D14" t="s">
        <v>315</v>
      </c>
    </row>
    <row r="15" spans="1:4" x14ac:dyDescent="0.25">
      <c r="A15" s="1" t="s">
        <v>316</v>
      </c>
      <c r="B15" s="379"/>
      <c r="D15" t="s">
        <v>317</v>
      </c>
    </row>
    <row r="16" spans="1:4" x14ac:dyDescent="0.25">
      <c r="A16" s="1" t="s">
        <v>318</v>
      </c>
      <c r="B16" s="379"/>
      <c r="D16" t="s">
        <v>319</v>
      </c>
    </row>
    <row r="17" spans="2:4" x14ac:dyDescent="0.25">
      <c r="B17" s="379"/>
      <c r="D17" t="s">
        <v>320</v>
      </c>
    </row>
    <row r="18" spans="4:4" x14ac:dyDescent="0.25">
      <c r="D18" t="s">
        <v>321</v>
      </c>
    </row>
    <row r="19" spans="4:4" x14ac:dyDescent="0.25">
      <c r="D19" t="s">
        <v>322</v>
      </c>
    </row>
    <row r="20" spans="4:4" x14ac:dyDescent="0.25">
      <c r="D20" t="s">
        <v>323</v>
      </c>
    </row>
    <row r="21" spans="4:4" x14ac:dyDescent="0.25">
      <c r="D21" t="s">
        <v>324</v>
      </c>
    </row>
    <row r="22" spans="4:5" x14ac:dyDescent="0.25"/>
    <row r="23" spans="4:5" x14ac:dyDescent="0.25"/>
    <row r="24" spans="4:5" x14ac:dyDescent="0.25"/>
    <row r="25" spans="4:5" x14ac:dyDescent="0.25"/>
    <row r="26" spans="4:5" x14ac:dyDescent="0.25"/>
    <row r="27" spans="4:5" x14ac:dyDescent="0.25"/>
    <row r="28" spans="4:5" x14ac:dyDescent="0.25"/>
  </sheetData>
  <mergeCells count="1">
    <mergeCell ref="A6:D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FORMULARIO</vt:lpstr>
      <vt:lpstr> MANDATO</vt:lpstr>
      <vt:lpstr>COMPRAVENTA</vt:lpstr>
      <vt:lpstr>DATOS</vt:lpstr>
      <vt:lpstr>CHECK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OPERACIONES OPERACIONES</dc:creator>
  <cp:lastModifiedBy>SANCHEZ NAVARRO JUAN CARLOS</cp:lastModifiedBy>
  <cp:lastPrinted>2026-05-23T15:44:15Z</cp:lastPrinted>
  <dcterms:created xsi:type="dcterms:W3CDTF">2026-04-14T21:50:59Z</dcterms:created>
  <dcterms:modified xsi:type="dcterms:W3CDTF">2026-05-26T14:29:46Z</dcterms:modified>
</cp:coreProperties>
</file>